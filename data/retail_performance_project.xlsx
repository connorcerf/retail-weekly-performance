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conno\OneDrive\Documents\"/>
    </mc:Choice>
  </mc:AlternateContent>
  <xr:revisionPtr revIDLastSave="0" documentId="13_ncr:1_{1CB32DC6-61B5-4585-AF6D-9A56E63B2D56}" xr6:coauthVersionLast="47" xr6:coauthVersionMax="47" xr10:uidLastSave="{00000000-0000-0000-0000-000000000000}"/>
  <bookViews>
    <workbookView xWindow="30" yWindow="270" windowWidth="28770" windowHeight="15450" activeTab="2" xr2:uid="{3D6D2C2C-EBA2-47B0-81FA-69EBC065A385}"/>
  </bookViews>
  <sheets>
    <sheet name="retail_dataset" sheetId="2" r:id="rId1"/>
    <sheet name="promo_analysis" sheetId="3" r:id="rId2"/>
    <sheet name="category_performance" sheetId="4" r:id="rId3"/>
    <sheet name="profit_drivers" sheetId="5" r:id="rId4"/>
    <sheet name="strategic_recommendations" sheetId="7" r:id="rId5"/>
  </sheets>
  <definedNames>
    <definedName name="ExternalData_1" localSheetId="0" hidden="1">retail_dataset!$A$1:$U$201</definedName>
  </definedNames>
  <calcPr calcId="191029"/>
  <pivotCaches>
    <pivotCache cacheId="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D5700-CC0C-4DA3-8533-6DF1115ABD8B}" keepAlive="1" name="Query - retail_dataset_additional_200_rows" description="Connection to the 'retail_dataset_additional_200_rows' query in the workbook." type="5" refreshedVersion="8" background="1" saveData="1">
    <dbPr connection="Provider=Microsoft.Mashup.OleDb.1;Data Source=$Workbook$;Location=retail_dataset_additional_200_rows;Extended Properties=&quot;&quot;" command="SELECT * FROM [retail_dataset_additional_200_rows]"/>
  </connection>
</connections>
</file>

<file path=xl/sharedStrings.xml><?xml version="1.0" encoding="utf-8"?>
<sst xmlns="http://schemas.openxmlformats.org/spreadsheetml/2006/main" count="1755" uniqueCount="301">
  <si>
    <t>SKU</t>
  </si>
  <si>
    <t>Category</t>
  </si>
  <si>
    <t>Subcategory</t>
  </si>
  <si>
    <t>Season</t>
  </si>
  <si>
    <t>LaunchYear</t>
  </si>
  <si>
    <t>LifecycleStage</t>
  </si>
  <si>
    <t>OriginalPrice</t>
  </si>
  <si>
    <t>CurrentPrice</t>
  </si>
  <si>
    <t>MarkdownPct</t>
  </si>
  <si>
    <t>PromoFlag</t>
  </si>
  <si>
    <t>PromoType</t>
  </si>
  <si>
    <t>PriceChangeDate</t>
  </si>
  <si>
    <t>UnitsSold_Week</t>
  </si>
  <si>
    <t>Revenue_Week</t>
  </si>
  <si>
    <t>Cost</t>
  </si>
  <si>
    <t>MarginPct</t>
  </si>
  <si>
    <t>InventoryOnHand</t>
  </si>
  <si>
    <t>WeeksOfSupply</t>
  </si>
  <si>
    <t>SellThroughPct</t>
  </si>
  <si>
    <t>Channel</t>
  </si>
  <si>
    <t>Region</t>
  </si>
  <si>
    <t>64CRRT</t>
  </si>
  <si>
    <t>Training Apparel</t>
  </si>
  <si>
    <t>Joggers</t>
  </si>
  <si>
    <t>Clearance</t>
  </si>
  <si>
    <t>Yes</t>
  </si>
  <si>
    <t>Promo</t>
  </si>
  <si>
    <t>Outlet</t>
  </si>
  <si>
    <t>US East</t>
  </si>
  <si>
    <t>6A32NA</t>
  </si>
  <si>
    <t>Socks &amp; Underwear</t>
  </si>
  <si>
    <t>Socks</t>
  </si>
  <si>
    <t>Core</t>
  </si>
  <si>
    <t>No</t>
  </si>
  <si>
    <t>None</t>
  </si>
  <si>
    <t>US Midwest</t>
  </si>
  <si>
    <t>6QRAL8</t>
  </si>
  <si>
    <t>Basketball Shoes</t>
  </si>
  <si>
    <t>Mid</t>
  </si>
  <si>
    <t>Online</t>
  </si>
  <si>
    <t>US South</t>
  </si>
  <si>
    <t>K4FMRO</t>
  </si>
  <si>
    <t>Kids Apparel</t>
  </si>
  <si>
    <t>Hoodies</t>
  </si>
  <si>
    <t>L4DDMU</t>
  </si>
  <si>
    <t>Markdown</t>
  </si>
  <si>
    <t>176I8F</t>
  </si>
  <si>
    <t>Women’s Leggings</t>
  </si>
  <si>
    <t>Patterned</t>
  </si>
  <si>
    <t>LU385E</t>
  </si>
  <si>
    <t>Gloves</t>
  </si>
  <si>
    <t>Training Gloves</t>
  </si>
  <si>
    <t>Retail</t>
  </si>
  <si>
    <t>3F9M7E</t>
  </si>
  <si>
    <t>Fleece</t>
  </si>
  <si>
    <t>FBIKW4</t>
  </si>
  <si>
    <t>Men’s Tees</t>
  </si>
  <si>
    <t>Short Sleeve</t>
  </si>
  <si>
    <t>JN6V4F</t>
  </si>
  <si>
    <t>Compression Gear</t>
  </si>
  <si>
    <t>Bottoms</t>
  </si>
  <si>
    <t>JREI9K</t>
  </si>
  <si>
    <t>Running Shoes</t>
  </si>
  <si>
    <t>Stability</t>
  </si>
  <si>
    <t>DYCIQR</t>
  </si>
  <si>
    <t>Bags &amp; Backpacks</t>
  </si>
  <si>
    <t>Sling Bags</t>
  </si>
  <si>
    <t>US West</t>
  </si>
  <si>
    <t>835DB4</t>
  </si>
  <si>
    <t>Sports Bras</t>
  </si>
  <si>
    <t>High Support</t>
  </si>
  <si>
    <t>WWYWCP</t>
  </si>
  <si>
    <t>Tops</t>
  </si>
  <si>
    <t>QYUVR8</t>
  </si>
  <si>
    <t>Medium Support</t>
  </si>
  <si>
    <t>7BJI81</t>
  </si>
  <si>
    <t>U2QK4O</t>
  </si>
  <si>
    <t>R0UGJY</t>
  </si>
  <si>
    <t>XJ66JS</t>
  </si>
  <si>
    <t>XEOSEW</t>
  </si>
  <si>
    <t>High</t>
  </si>
  <si>
    <t>U3E9TN</t>
  </si>
  <si>
    <t>GT8XZI</t>
  </si>
  <si>
    <t>Lifting Gloves</t>
  </si>
  <si>
    <t>FHB9EK</t>
  </si>
  <si>
    <t>Neutral</t>
  </si>
  <si>
    <t>9H9VUQ</t>
  </si>
  <si>
    <t>765XX1</t>
  </si>
  <si>
    <t>Thermal</t>
  </si>
  <si>
    <t>0IYW0D</t>
  </si>
  <si>
    <t>Low Support</t>
  </si>
  <si>
    <t>A2MW8Q</t>
  </si>
  <si>
    <t>Cushion</t>
  </si>
  <si>
    <t>RIA81H</t>
  </si>
  <si>
    <t>EJ77KY</t>
  </si>
  <si>
    <t>8JGCPP</t>
  </si>
  <si>
    <t>High-Rise</t>
  </si>
  <si>
    <t>2XHCX0</t>
  </si>
  <si>
    <t>Swimwear</t>
  </si>
  <si>
    <t>Women’s</t>
  </si>
  <si>
    <t>T8X6O1</t>
  </si>
  <si>
    <t>MEEB0A</t>
  </si>
  <si>
    <t>NS40K9</t>
  </si>
  <si>
    <t>Trail</t>
  </si>
  <si>
    <t>W3N510</t>
  </si>
  <si>
    <t>Compression</t>
  </si>
  <si>
    <t>W2HFS5</t>
  </si>
  <si>
    <t>Zip-Up</t>
  </si>
  <si>
    <t>1UBELK</t>
  </si>
  <si>
    <t>I0KZHO</t>
  </si>
  <si>
    <t>ZTJZXD</t>
  </si>
  <si>
    <t>Tanks</t>
  </si>
  <si>
    <t>W6WHVC</t>
  </si>
  <si>
    <t>Z51H7G</t>
  </si>
  <si>
    <t>DUPVEV</t>
  </si>
  <si>
    <t>Kids</t>
  </si>
  <si>
    <t>J0LNWM</t>
  </si>
  <si>
    <t>8W40D4</t>
  </si>
  <si>
    <t>1FKRN2</t>
  </si>
  <si>
    <t>Backpacks</t>
  </si>
  <si>
    <t>SXKABZ</t>
  </si>
  <si>
    <t>YQSYX4</t>
  </si>
  <si>
    <t>QABB6Q</t>
  </si>
  <si>
    <t>X05SHQ</t>
  </si>
  <si>
    <t>B7E26Y</t>
  </si>
  <si>
    <t>P93ABD</t>
  </si>
  <si>
    <t>Long Sleeve</t>
  </si>
  <si>
    <t>RZEW6G</t>
  </si>
  <si>
    <t>Underwear</t>
  </si>
  <si>
    <t>JUPRTE</t>
  </si>
  <si>
    <t>14GZZW</t>
  </si>
  <si>
    <t>1B9X35</t>
  </si>
  <si>
    <t>1IFY5C</t>
  </si>
  <si>
    <t>38AJD1</t>
  </si>
  <si>
    <t>UOOZIS</t>
  </si>
  <si>
    <t>Accessories</t>
  </si>
  <si>
    <t>Hats</t>
  </si>
  <si>
    <t>XUMFW0</t>
  </si>
  <si>
    <t>DSQC76</t>
  </si>
  <si>
    <t>Graphic</t>
  </si>
  <si>
    <t>7E9MIK</t>
  </si>
  <si>
    <t>T1BZS9</t>
  </si>
  <si>
    <t>5ZTFFM</t>
  </si>
  <si>
    <t>Winter Gloves</t>
  </si>
  <si>
    <t>8MMBI3</t>
  </si>
  <si>
    <t>V3MF8Q</t>
  </si>
  <si>
    <t>Q6WS1T</t>
  </si>
  <si>
    <t>4WJQKJ</t>
  </si>
  <si>
    <t>8N3D8Y</t>
  </si>
  <si>
    <t>25RH4M</t>
  </si>
  <si>
    <t>DJY6QV</t>
  </si>
  <si>
    <t>7D66UW</t>
  </si>
  <si>
    <t>CVNA9D</t>
  </si>
  <si>
    <t>B75LF8</t>
  </si>
  <si>
    <t>TS3MHU</t>
  </si>
  <si>
    <t>ODBCI4</t>
  </si>
  <si>
    <t>73BDN8</t>
  </si>
  <si>
    <t>RWJBKC</t>
  </si>
  <si>
    <t>RHRVQ3</t>
  </si>
  <si>
    <t>S8V4RT</t>
  </si>
  <si>
    <t>B9AEL0</t>
  </si>
  <si>
    <t>2NR66C</t>
  </si>
  <si>
    <t>PQF2BM</t>
  </si>
  <si>
    <t>PUVQIT</t>
  </si>
  <si>
    <t>P8NO6I</t>
  </si>
  <si>
    <t>0XHP6L</t>
  </si>
  <si>
    <t>2KBPC3</t>
  </si>
  <si>
    <t>Outerwear</t>
  </si>
  <si>
    <t>Jackets</t>
  </si>
  <si>
    <t>01H4OE</t>
  </si>
  <si>
    <t>ETK49B</t>
  </si>
  <si>
    <t>GVPTND</t>
  </si>
  <si>
    <t>EPBTR9</t>
  </si>
  <si>
    <t>VNNIZJ</t>
  </si>
  <si>
    <t>18ESPI</t>
  </si>
  <si>
    <t>44TX00</t>
  </si>
  <si>
    <t>T6KHGI</t>
  </si>
  <si>
    <t>GQD03H</t>
  </si>
  <si>
    <t>DZYHWZ</t>
  </si>
  <si>
    <t>GNCJNA</t>
  </si>
  <si>
    <t>ZS0ZKY</t>
  </si>
  <si>
    <t>O7JNEW</t>
  </si>
  <si>
    <t>Duffels</t>
  </si>
  <si>
    <t>ZEZ6AZ</t>
  </si>
  <si>
    <t>S0H1QU</t>
  </si>
  <si>
    <t>Z8PM1M</t>
  </si>
  <si>
    <t>5S0ZXW</t>
  </si>
  <si>
    <t>1U30GO</t>
  </si>
  <si>
    <t>K66MNO</t>
  </si>
  <si>
    <t>NRZJC7</t>
  </si>
  <si>
    <t>OBTWG0</t>
  </si>
  <si>
    <t>Y96MVW</t>
  </si>
  <si>
    <t>0EXLIB</t>
  </si>
  <si>
    <t>MFTG2Z</t>
  </si>
  <si>
    <t>49TOJ7</t>
  </si>
  <si>
    <t>Hats &amp; Headwear</t>
  </si>
  <si>
    <t>Beanies</t>
  </si>
  <si>
    <t>4TQIBW</t>
  </si>
  <si>
    <t>Z7NUYG</t>
  </si>
  <si>
    <t>YGVR58</t>
  </si>
  <si>
    <t>LWA6JU</t>
  </si>
  <si>
    <t>LFQ6H6</t>
  </si>
  <si>
    <t>F5SJQW</t>
  </si>
  <si>
    <t>9VXSFI</t>
  </si>
  <si>
    <t>CCMDCV</t>
  </si>
  <si>
    <t>0UIW8Q</t>
  </si>
  <si>
    <t>Shorts</t>
  </si>
  <si>
    <t>J7YN6C</t>
  </si>
  <si>
    <t>7D5VMC</t>
  </si>
  <si>
    <t>A12AWP</t>
  </si>
  <si>
    <t>VCV6IW</t>
  </si>
  <si>
    <t>UT70UL</t>
  </si>
  <si>
    <t>4DSF8P</t>
  </si>
  <si>
    <t>E3ZPR3</t>
  </si>
  <si>
    <t>Low</t>
  </si>
  <si>
    <t>ADMNYA</t>
  </si>
  <si>
    <t>ES7RHO</t>
  </si>
  <si>
    <t>6ML8UV</t>
  </si>
  <si>
    <t>30MW0T</t>
  </si>
  <si>
    <t>1RCGCF</t>
  </si>
  <si>
    <t>H3LX1I</t>
  </si>
  <si>
    <t>N4SB5Z</t>
  </si>
  <si>
    <t>R01IG5</t>
  </si>
  <si>
    <t>5CNCY3</t>
  </si>
  <si>
    <t>N5MNQ0</t>
  </si>
  <si>
    <t>Caps</t>
  </si>
  <si>
    <t>5MY92N</t>
  </si>
  <si>
    <t>HYPRNJ</t>
  </si>
  <si>
    <t>H1682J</t>
  </si>
  <si>
    <t>U3R64J</t>
  </si>
  <si>
    <t>T1FT9B</t>
  </si>
  <si>
    <t>EWMD10</t>
  </si>
  <si>
    <t>HJ5U2F</t>
  </si>
  <si>
    <t>BGH8KN</t>
  </si>
  <si>
    <t>38ENL8</t>
  </si>
  <si>
    <t>J5EJUV</t>
  </si>
  <si>
    <t>NVCK59</t>
  </si>
  <si>
    <t>Headbands</t>
  </si>
  <si>
    <t>PJQJUK</t>
  </si>
  <si>
    <t>VKJR4N</t>
  </si>
  <si>
    <t>R9KO30</t>
  </si>
  <si>
    <t>XW3M1M</t>
  </si>
  <si>
    <t>DWN9EO</t>
  </si>
  <si>
    <t>SQDFGR</t>
  </si>
  <si>
    <t>V3Y0P9</t>
  </si>
  <si>
    <t>R7NANT</t>
  </si>
  <si>
    <t>GDGJIC</t>
  </si>
  <si>
    <t>TFAKAN</t>
  </si>
  <si>
    <t>EJ9JQ2</t>
  </si>
  <si>
    <t>E3JMZ0</t>
  </si>
  <si>
    <t>Windbreakers</t>
  </si>
  <si>
    <t>7LWXR6</t>
  </si>
  <si>
    <t>N0G4KX</t>
  </si>
  <si>
    <t>QZE364</t>
  </si>
  <si>
    <t>KSLW0Q</t>
  </si>
  <si>
    <t>50CFYQ</t>
  </si>
  <si>
    <t>C7ASQP</t>
  </si>
  <si>
    <t>T1MY1R</t>
  </si>
  <si>
    <t>KKP0KL</t>
  </si>
  <si>
    <t>FFMJ5W</t>
  </si>
  <si>
    <t>FH1I16</t>
  </si>
  <si>
    <t>6SNXMH</t>
  </si>
  <si>
    <t>ZWIOBO</t>
  </si>
  <si>
    <t>ADJK8I</t>
  </si>
  <si>
    <t>98OJ3S</t>
  </si>
  <si>
    <t>J6SZKW</t>
  </si>
  <si>
    <t>GVKCI6</t>
  </si>
  <si>
    <t>H82YT3</t>
  </si>
  <si>
    <t>T6K619</t>
  </si>
  <si>
    <t>OS93YR</t>
  </si>
  <si>
    <t>ZEAGFU</t>
  </si>
  <si>
    <t>HRKIND</t>
  </si>
  <si>
    <t>0CMIMF</t>
  </si>
  <si>
    <t>SQWKIT</t>
  </si>
  <si>
    <t>Z09BJ6</t>
  </si>
  <si>
    <t>19K5IS</t>
  </si>
  <si>
    <t>SRRSC1</t>
  </si>
  <si>
    <t>Visors</t>
  </si>
  <si>
    <t>0XW6DZ</t>
  </si>
  <si>
    <t>EQ5074</t>
  </si>
  <si>
    <t>NICSZI</t>
  </si>
  <si>
    <t>HVDZBN</t>
  </si>
  <si>
    <t>S2LUC5</t>
  </si>
  <si>
    <t>P07JFG</t>
  </si>
  <si>
    <t>SEL23P</t>
  </si>
  <si>
    <t>UGE0YZ</t>
  </si>
  <si>
    <t>RLXYJQ</t>
  </si>
  <si>
    <t>LIK2LO</t>
  </si>
  <si>
    <t>FLRJR9</t>
  </si>
  <si>
    <t>PEVAP9</t>
  </si>
  <si>
    <t>54EJD9</t>
  </si>
  <si>
    <t>V9XEUB</t>
  </si>
  <si>
    <t>Row Labels</t>
  </si>
  <si>
    <t>Grand Total</t>
  </si>
  <si>
    <t>Sum of Revenue_Week</t>
  </si>
  <si>
    <t>Sum of UnitsSold_Week</t>
  </si>
  <si>
    <t>Average of MarginPct</t>
  </si>
  <si>
    <t>Average of SellThroughPct</t>
  </si>
  <si>
    <t>Average of WeeksOfSupply</t>
  </si>
  <si>
    <t>GrossProfit_Week</t>
  </si>
  <si>
    <t>Sum of GrossProfit_Week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</si>
</sst>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65" fontId="0" fillId="0" borderId="0" xfId="0" applyNumberFormat="1"/>
  </cellXfs>
  <cellStyles count="1">
    <cellStyle name="Normal" xfId="0" builtinId="0"/>
  </cellStyles>
  <dxfs count="26">
    <dxf>
      <numFmt numFmtId="2" formatCode="0.00"/>
    </dxf>
    <dxf>
      <numFmt numFmtId="165" formatCode="&quot;$&quot;#,##0"/>
    </dxf>
    <dxf>
      <numFmt numFmtId="165" formatCode="&quot;$&quot;#,##0"/>
    </dxf>
    <dxf>
      <numFmt numFmtId="165" formatCode="&quot;$&quot;#,##0"/>
    </dxf>
    <dxf>
      <numFmt numFmtId="2" formatCode="0.00"/>
    </dxf>
    <dxf>
      <numFmt numFmtId="165" formatCode="&quot;$&quot;#,##0"/>
    </dxf>
    <dxf>
      <numFmt numFmtId="164" formatCode="&quot;$&quot;#,##0.00"/>
    </dxf>
    <dxf>
      <numFmt numFmtId="0" formatCode="General"/>
    </dxf>
    <dxf>
      <numFmt numFmtId="0" formatCode="General"/>
    </dxf>
    <dxf>
      <numFmt numFmtId="14" formatCode="0.00%"/>
    </dxf>
    <dxf>
      <numFmt numFmtId="14" formatCode="0.00%"/>
    </dxf>
    <dxf>
      <numFmt numFmtId="164" formatCode="&quot;$&quot;#,##0.00"/>
    </dxf>
    <dxf>
      <numFmt numFmtId="164" formatCode="&quot;$&quot;#,##0.00"/>
    </dxf>
    <dxf>
      <numFmt numFmtId="19" formatCode="m/d/yyyy"/>
    </dxf>
    <dxf>
      <numFmt numFmtId="0" formatCode="General"/>
    </dxf>
    <dxf>
      <numFmt numFmtId="0" formatCode="General"/>
    </dxf>
    <dxf>
      <numFmt numFmtId="14" formatCode="0.00%"/>
    </dxf>
    <dxf>
      <numFmt numFmtId="164" formatCode="&quot;$&quot;#,##0.00"/>
    </dxf>
    <dxf>
      <numFmt numFmtId="164" formatCode="&quot;$&quot;#,##0.00"/>
    </dxf>
    <dxf>
      <numFmt numFmtId="0" formatCode="General"/>
    </dxf>
    <dxf>
      <numFmt numFmtId="19" formatCode="m/d/yyyy"/>
    </dxf>
    <dxf>
      <numFmt numFmtId="0" formatCode="General"/>
    </dxf>
    <dxf>
      <numFmt numFmtId="0" formatCode="General"/>
    </dxf>
    <dxf>
      <numFmt numFmtId="0" formatCode="General"/>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[retail_performance_project.xlsx]promo_analysis!PivotTable2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Revenue and Margin by Promotion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promo_analysis!$C$38</c:f>
              <c:strCache>
                <c:ptCount val="1"/>
                <c:pt idx="0">
                  <c:v>Sum of Revenue_Week</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promo_analysis!$B$39:$B$41</c:f>
              <c:strCache>
                <c:ptCount val="2"/>
                <c:pt idx="0">
                  <c:v>No</c:v>
                </c:pt>
                <c:pt idx="1">
                  <c:v>Yes</c:v>
                </c:pt>
              </c:strCache>
            </c:strRef>
          </c:cat>
          <c:val>
            <c:numRef>
              <c:f>promo_analysis!$C$39:$C$41</c:f>
              <c:numCache>
                <c:formatCode>"$"#,##0</c:formatCode>
                <c:ptCount val="2"/>
                <c:pt idx="0">
                  <c:v>3090110</c:v>
                </c:pt>
                <c:pt idx="1">
                  <c:v>2189800</c:v>
                </c:pt>
              </c:numCache>
            </c:numRef>
          </c:val>
          <c:extLst>
            <c:ext xmlns:c16="http://schemas.microsoft.com/office/drawing/2014/chart" uri="{C3380CC4-5D6E-409C-BE32-E72D297353CC}">
              <c16:uniqueId val="{00000000-715D-4237-9891-5B4D71ACCEB8}"/>
            </c:ext>
          </c:extLst>
        </c:ser>
        <c:dLbls>
          <c:showLegendKey val="0"/>
          <c:showVal val="0"/>
          <c:showCatName val="0"/>
          <c:showSerName val="0"/>
          <c:showPercent val="0"/>
          <c:showBubbleSize val="0"/>
        </c:dLbls>
        <c:gapWidth val="219"/>
        <c:overlap val="-27"/>
        <c:axId val="1456111599"/>
        <c:axId val="1456112079"/>
      </c:barChart>
      <c:lineChart>
        <c:grouping val="standard"/>
        <c:varyColors val="0"/>
        <c:ser>
          <c:idx val="1"/>
          <c:order val="1"/>
          <c:tx>
            <c:strRef>
              <c:f>promo_analysis!$D$38</c:f>
              <c:strCache>
                <c:ptCount val="1"/>
                <c:pt idx="0">
                  <c:v>Average of MarginPct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promo_analysis!$B$39:$B$41</c:f>
              <c:strCache>
                <c:ptCount val="2"/>
                <c:pt idx="0">
                  <c:v>No</c:v>
                </c:pt>
                <c:pt idx="1">
                  <c:v>Yes</c:v>
                </c:pt>
              </c:strCache>
            </c:strRef>
          </c:cat>
          <c:val>
            <c:numRef>
              <c:f>promo_analysis!$D$39:$D$41</c:f>
              <c:numCache>
                <c:formatCode>0.00%</c:formatCode>
                <c:ptCount val="2"/>
                <c:pt idx="0">
                  <c:v>0.51932330097087387</c:v>
                </c:pt>
                <c:pt idx="1">
                  <c:v>0.41220927835051546</c:v>
                </c:pt>
              </c:numCache>
            </c:numRef>
          </c:val>
          <c:smooth val="0"/>
          <c:extLst>
            <c:ext xmlns:c16="http://schemas.microsoft.com/office/drawing/2014/chart" uri="{C3380CC4-5D6E-409C-BE32-E72D297353CC}">
              <c16:uniqueId val="{00000001-715D-4237-9891-5B4D71ACCEB8}"/>
            </c:ext>
          </c:extLst>
        </c:ser>
        <c:dLbls>
          <c:showLegendKey val="0"/>
          <c:showVal val="0"/>
          <c:showCatName val="0"/>
          <c:showSerName val="0"/>
          <c:showPercent val="0"/>
          <c:showBubbleSize val="0"/>
        </c:dLbls>
        <c:marker val="1"/>
        <c:smooth val="0"/>
        <c:axId val="1300098640"/>
        <c:axId val="1300096240"/>
      </c:lineChart>
      <c:catAx>
        <c:axId val="1456111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12079"/>
        <c:crosses val="autoZero"/>
        <c:auto val="1"/>
        <c:lblAlgn val="ctr"/>
        <c:lblOffset val="100"/>
        <c:noMultiLvlLbl val="0"/>
      </c:catAx>
      <c:valAx>
        <c:axId val="1456112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11599"/>
        <c:crosses val="autoZero"/>
        <c:crossBetween val="between"/>
      </c:valAx>
      <c:valAx>
        <c:axId val="130009624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98640"/>
        <c:crosses val="max"/>
        <c:crossBetween val="between"/>
      </c:valAx>
      <c:catAx>
        <c:axId val="1300098640"/>
        <c:scaling>
          <c:orientation val="minMax"/>
        </c:scaling>
        <c:delete val="1"/>
        <c:axPos val="b"/>
        <c:numFmt formatCode="General" sourceLinked="1"/>
        <c:majorTickMark val="none"/>
        <c:minorTickMark val="none"/>
        <c:tickLblPos val="nextTo"/>
        <c:crossAx val="13000962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[retail_performance_project.xlsx]category_performance!PivotTable1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category_performance!$B$13</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category_performance!$A$14:$A$30</c:f>
              <c:strCache>
                <c:ptCount val="16"/>
                <c:pt idx="0">
                  <c:v>Women’s Leggings</c:v>
                </c:pt>
                <c:pt idx="1">
                  <c:v>Accessories</c:v>
                </c:pt>
                <c:pt idx="2">
                  <c:v>Bags &amp; Backpacks</c:v>
                </c:pt>
                <c:pt idx="3">
                  <c:v>Socks &amp; Underwear</c:v>
                </c:pt>
                <c:pt idx="4">
                  <c:v>Hoodies</c:v>
                </c:pt>
                <c:pt idx="5">
                  <c:v>Men’s Tees</c:v>
                </c:pt>
                <c:pt idx="6">
                  <c:v>Running Shoes</c:v>
                </c:pt>
                <c:pt idx="7">
                  <c:v>Sports Bras</c:v>
                </c:pt>
                <c:pt idx="8">
                  <c:v>Swimwear</c:v>
                </c:pt>
                <c:pt idx="9">
                  <c:v>Gloves</c:v>
                </c:pt>
                <c:pt idx="10">
                  <c:v>Compression Gear</c:v>
                </c:pt>
                <c:pt idx="11">
                  <c:v>Training Apparel</c:v>
                </c:pt>
                <c:pt idx="12">
                  <c:v>Kids Apparel</c:v>
                </c:pt>
                <c:pt idx="13">
                  <c:v>Basketball Shoes</c:v>
                </c:pt>
                <c:pt idx="14">
                  <c:v>Outerwear</c:v>
                </c:pt>
                <c:pt idx="15">
                  <c:v>Hats &amp; Headwear</c:v>
                </c:pt>
              </c:strCache>
            </c:strRef>
          </c:cat>
          <c:val>
            <c:numRef>
              <c:f>category_performance!$B$14:$B$30</c:f>
              <c:numCache>
                <c:formatCode>"$"#,##0</c:formatCode>
                <c:ptCount val="16"/>
                <c:pt idx="0">
                  <c:v>641812</c:v>
                </c:pt>
                <c:pt idx="1">
                  <c:v>476940</c:v>
                </c:pt>
                <c:pt idx="2">
                  <c:v>437422</c:v>
                </c:pt>
                <c:pt idx="3">
                  <c:v>407195</c:v>
                </c:pt>
                <c:pt idx="4">
                  <c:v>386867</c:v>
                </c:pt>
                <c:pt idx="5">
                  <c:v>385457</c:v>
                </c:pt>
                <c:pt idx="6">
                  <c:v>351255</c:v>
                </c:pt>
                <c:pt idx="7">
                  <c:v>337932</c:v>
                </c:pt>
                <c:pt idx="8">
                  <c:v>329698</c:v>
                </c:pt>
                <c:pt idx="9">
                  <c:v>313506</c:v>
                </c:pt>
                <c:pt idx="10">
                  <c:v>287273</c:v>
                </c:pt>
                <c:pt idx="11">
                  <c:v>279642</c:v>
                </c:pt>
                <c:pt idx="12">
                  <c:v>254457</c:v>
                </c:pt>
                <c:pt idx="13">
                  <c:v>153817</c:v>
                </c:pt>
                <c:pt idx="14">
                  <c:v>123717</c:v>
                </c:pt>
                <c:pt idx="15">
                  <c:v>112920</c:v>
                </c:pt>
              </c:numCache>
            </c:numRef>
          </c:val>
          <c:extLst>
            <c:ext xmlns:c16="http://schemas.microsoft.com/office/drawing/2014/chart" uri="{C3380CC4-5D6E-409C-BE32-E72D297353CC}">
              <c16:uniqueId val="{00000000-D611-41C4-A698-2148809447E6}"/>
            </c:ext>
          </c:extLst>
        </c:ser>
        <c:dLbls>
          <c:dLblPos val="outEnd"/>
          <c:showLegendKey val="0"/>
          <c:showVal val="1"/>
          <c:showCatName val="0"/>
          <c:showSerName val="0"/>
          <c:showPercent val="0"/>
          <c:showBubbleSize val="0"/>
        </c:dLbls>
        <c:gapWidth val="100"/>
        <c:overlap val="-24"/>
        <c:axId val="1921466880"/>
        <c:axId val="1921467360"/>
      </c:barChart>
      <c:catAx>
        <c:axId val="192146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67360"/>
        <c:crosses val="autoZero"/>
        <c:auto val="1"/>
        <c:lblAlgn val="ctr"/>
        <c:lblOffset val="100"/>
        <c:noMultiLvlLbl val="0"/>
      </c:catAx>
      <c:valAx>
        <c:axId val="1921467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6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[retail_performance_project.xlsx]category_performance!PivotTable2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Revenue + Average Sell-Through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category_performance!$B$36</c:f>
              <c:strCache>
                <c:ptCount val="1"/>
                <c:pt idx="0">
                  <c:v>Sum of Revenue_Week</c:v>
                </c:pt>
              </c:strCache>
            </c:strRef>
          </c:tx>
          <c:spPr>
            <a:solidFill>
              <a:schemeClr val="accent6"/>
            </a:solidFill>
            <a:ln>
              <a:noFill/>
            </a:ln>
            <a:effectLst>
              <a:outerShdw blurRad="57150" dist="19050" dir="5400000" algn="ctr" rotWithShape="0">
                <a:srgbClr val="000000">
                  <a:alpha val="63000"/>
                </a:srgbClr>
              </a:outerShdw>
            </a:effectLst>
          </c:spPr>
          <c:invertIfNegative val="0"/>
          <c:cat>
            <c:strRef>
              <c:f>category_performance!$A$37:$A$53</c:f>
              <c:strCache>
                <c:ptCount val="16"/>
                <c:pt idx="0">
                  <c:v>Women’s Leggings</c:v>
                </c:pt>
                <c:pt idx="1">
                  <c:v>Accessories</c:v>
                </c:pt>
                <c:pt idx="2">
                  <c:v>Bags &amp; Backpacks</c:v>
                </c:pt>
                <c:pt idx="3">
                  <c:v>Socks &amp; Underwear</c:v>
                </c:pt>
                <c:pt idx="4">
                  <c:v>Hoodies</c:v>
                </c:pt>
                <c:pt idx="5">
                  <c:v>Men’s Tees</c:v>
                </c:pt>
                <c:pt idx="6">
                  <c:v>Running Shoes</c:v>
                </c:pt>
                <c:pt idx="7">
                  <c:v>Sports Bras</c:v>
                </c:pt>
                <c:pt idx="8">
                  <c:v>Swimwear</c:v>
                </c:pt>
                <c:pt idx="9">
                  <c:v>Gloves</c:v>
                </c:pt>
                <c:pt idx="10">
                  <c:v>Compression Gear</c:v>
                </c:pt>
                <c:pt idx="11">
                  <c:v>Training Apparel</c:v>
                </c:pt>
                <c:pt idx="12">
                  <c:v>Kids Apparel</c:v>
                </c:pt>
                <c:pt idx="13">
                  <c:v>Basketball Shoes</c:v>
                </c:pt>
                <c:pt idx="14">
                  <c:v>Outerwear</c:v>
                </c:pt>
                <c:pt idx="15">
                  <c:v>Hats &amp; Headwear</c:v>
                </c:pt>
              </c:strCache>
            </c:strRef>
          </c:cat>
          <c:val>
            <c:numRef>
              <c:f>category_performance!$B$37:$B$53</c:f>
              <c:numCache>
                <c:formatCode>"$"#,##0</c:formatCode>
                <c:ptCount val="16"/>
                <c:pt idx="0">
                  <c:v>641812</c:v>
                </c:pt>
                <c:pt idx="1">
                  <c:v>476940</c:v>
                </c:pt>
                <c:pt idx="2">
                  <c:v>437422</c:v>
                </c:pt>
                <c:pt idx="3">
                  <c:v>407195</c:v>
                </c:pt>
                <c:pt idx="4">
                  <c:v>386867</c:v>
                </c:pt>
                <c:pt idx="5">
                  <c:v>385457</c:v>
                </c:pt>
                <c:pt idx="6">
                  <c:v>351255</c:v>
                </c:pt>
                <c:pt idx="7">
                  <c:v>337932</c:v>
                </c:pt>
                <c:pt idx="8">
                  <c:v>329698</c:v>
                </c:pt>
                <c:pt idx="9">
                  <c:v>313506</c:v>
                </c:pt>
                <c:pt idx="10">
                  <c:v>287273</c:v>
                </c:pt>
                <c:pt idx="11">
                  <c:v>279642</c:v>
                </c:pt>
                <c:pt idx="12">
                  <c:v>254457</c:v>
                </c:pt>
                <c:pt idx="13">
                  <c:v>153817</c:v>
                </c:pt>
                <c:pt idx="14">
                  <c:v>123717</c:v>
                </c:pt>
                <c:pt idx="15">
                  <c:v>112920</c:v>
                </c:pt>
              </c:numCache>
            </c:numRef>
          </c:val>
          <c:extLst>
            <c:ext xmlns:c16="http://schemas.microsoft.com/office/drawing/2014/chart" uri="{C3380CC4-5D6E-409C-BE32-E72D297353CC}">
              <c16:uniqueId val="{00000000-5298-4132-9806-A5AB44890584}"/>
            </c:ext>
          </c:extLst>
        </c:ser>
        <c:dLbls>
          <c:showLegendKey val="0"/>
          <c:showVal val="0"/>
          <c:showCatName val="0"/>
          <c:showSerName val="0"/>
          <c:showPercent val="0"/>
          <c:showBubbleSize val="0"/>
        </c:dLbls>
        <c:gapWidth val="219"/>
        <c:overlap val="-27"/>
        <c:axId val="1540053375"/>
        <c:axId val="1540054815"/>
      </c:barChart>
      <c:lineChart>
        <c:grouping val="standard"/>
        <c:varyColors val="0"/>
        <c:ser>
          <c:idx val="1"/>
          <c:order val="1"/>
          <c:tx>
            <c:strRef>
              <c:f>category_performance!$C$36</c:f>
              <c:strCache>
                <c:ptCount val="1"/>
                <c:pt idx="0">
                  <c:v>Average of SellThroughPct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category_performance!$A$37:$A$53</c:f>
              <c:strCache>
                <c:ptCount val="16"/>
                <c:pt idx="0">
                  <c:v>Women’s Leggings</c:v>
                </c:pt>
                <c:pt idx="1">
                  <c:v>Accessories</c:v>
                </c:pt>
                <c:pt idx="2">
                  <c:v>Bags &amp; Backpacks</c:v>
                </c:pt>
                <c:pt idx="3">
                  <c:v>Socks &amp; Underwear</c:v>
                </c:pt>
                <c:pt idx="4">
                  <c:v>Hoodies</c:v>
                </c:pt>
                <c:pt idx="5">
                  <c:v>Men’s Tees</c:v>
                </c:pt>
                <c:pt idx="6">
                  <c:v>Running Shoes</c:v>
                </c:pt>
                <c:pt idx="7">
                  <c:v>Sports Bras</c:v>
                </c:pt>
                <c:pt idx="8">
                  <c:v>Swimwear</c:v>
                </c:pt>
                <c:pt idx="9">
                  <c:v>Gloves</c:v>
                </c:pt>
                <c:pt idx="10">
                  <c:v>Compression Gear</c:v>
                </c:pt>
                <c:pt idx="11">
                  <c:v>Training Apparel</c:v>
                </c:pt>
                <c:pt idx="12">
                  <c:v>Kids Apparel</c:v>
                </c:pt>
                <c:pt idx="13">
                  <c:v>Basketball Shoes</c:v>
                </c:pt>
                <c:pt idx="14">
                  <c:v>Outerwear</c:v>
                </c:pt>
                <c:pt idx="15">
                  <c:v>Hats &amp; Headwear</c:v>
                </c:pt>
              </c:strCache>
            </c:strRef>
          </c:cat>
          <c:val>
            <c:numRef>
              <c:f>category_performance!$C$37:$C$53</c:f>
              <c:numCache>
                <c:formatCode>0.00%</c:formatCode>
                <c:ptCount val="16"/>
                <c:pt idx="0">
                  <c:v>0.34947619047619044</c:v>
                </c:pt>
                <c:pt idx="1">
                  <c:v>0.28408749999999994</c:v>
                </c:pt>
                <c:pt idx="2">
                  <c:v>0.29130714285714288</c:v>
                </c:pt>
                <c:pt idx="3">
                  <c:v>0.3061875</c:v>
                </c:pt>
                <c:pt idx="4">
                  <c:v>0.24260000000000001</c:v>
                </c:pt>
                <c:pt idx="5">
                  <c:v>0.31080769230769228</c:v>
                </c:pt>
                <c:pt idx="6">
                  <c:v>0.25960000000000005</c:v>
                </c:pt>
                <c:pt idx="7">
                  <c:v>0.29073888888888882</c:v>
                </c:pt>
                <c:pt idx="8">
                  <c:v>0.37362222222222224</c:v>
                </c:pt>
                <c:pt idx="9">
                  <c:v>0.30601333333333336</c:v>
                </c:pt>
                <c:pt idx="10">
                  <c:v>0.27814615384615388</c:v>
                </c:pt>
                <c:pt idx="11">
                  <c:v>0.29728888888888888</c:v>
                </c:pt>
                <c:pt idx="12">
                  <c:v>0.23222000000000001</c:v>
                </c:pt>
                <c:pt idx="13">
                  <c:v>0.32772499999999999</c:v>
                </c:pt>
                <c:pt idx="14">
                  <c:v>0.39409999999999995</c:v>
                </c:pt>
                <c:pt idx="15">
                  <c:v>0.26785999999999993</c:v>
                </c:pt>
              </c:numCache>
            </c:numRef>
          </c:val>
          <c:smooth val="0"/>
          <c:extLst>
            <c:ext xmlns:c16="http://schemas.microsoft.com/office/drawing/2014/chart" uri="{C3380CC4-5D6E-409C-BE32-E72D297353CC}">
              <c16:uniqueId val="{00000001-5298-4132-9806-A5AB44890584}"/>
            </c:ext>
          </c:extLst>
        </c:ser>
        <c:dLbls>
          <c:showLegendKey val="0"/>
          <c:showVal val="0"/>
          <c:showCatName val="0"/>
          <c:showSerName val="0"/>
          <c:showPercent val="0"/>
          <c:showBubbleSize val="0"/>
        </c:dLbls>
        <c:marker val="1"/>
        <c:smooth val="0"/>
        <c:axId val="1540064895"/>
        <c:axId val="1540059615"/>
      </c:lineChart>
      <c:catAx>
        <c:axId val="1540053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054815"/>
        <c:crosses val="autoZero"/>
        <c:auto val="1"/>
        <c:lblAlgn val="ctr"/>
        <c:lblOffset val="100"/>
        <c:noMultiLvlLbl val="0"/>
      </c:catAx>
      <c:valAx>
        <c:axId val="1540054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053375"/>
        <c:crosses val="autoZero"/>
        <c:crossBetween val="between"/>
      </c:valAx>
      <c:valAx>
        <c:axId val="154005961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064895"/>
        <c:crosses val="max"/>
        <c:crossBetween val="between"/>
      </c:valAx>
      <c:catAx>
        <c:axId val="1540064895"/>
        <c:scaling>
          <c:orientation val="minMax"/>
        </c:scaling>
        <c:delete val="1"/>
        <c:axPos val="b"/>
        <c:numFmt formatCode="General" sourceLinked="1"/>
        <c:majorTickMark val="none"/>
        <c:minorTickMark val="none"/>
        <c:tickLblPos val="nextTo"/>
        <c:crossAx val="1540059615"/>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[retail_performance_project.xlsx]category_performance!PivotTable3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Average Weeks of Supply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category_performance!$B$60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category_performance!$A$61:$A$77</c:f>
              <c:strCache>
                <c:ptCount val="16"/>
                <c:pt idx="0">
                  <c:v>Kids Apparel</c:v>
                </c:pt>
                <c:pt idx="1">
                  <c:v>Sports Bras</c:v>
                </c:pt>
                <c:pt idx="2">
                  <c:v>Hoodies</c:v>
                </c:pt>
                <c:pt idx="3">
                  <c:v>Compression Gear</c:v>
                </c:pt>
                <c:pt idx="4">
                  <c:v>Running Shoes</c:v>
                </c:pt>
                <c:pt idx="5">
                  <c:v>Accessories</c:v>
                </c:pt>
                <c:pt idx="6">
                  <c:v>Gloves</c:v>
                </c:pt>
                <c:pt idx="7">
                  <c:v>Socks &amp; Underwear</c:v>
                </c:pt>
                <c:pt idx="8">
                  <c:v>Training Apparel</c:v>
                </c:pt>
                <c:pt idx="9">
                  <c:v>Bags &amp; Backpacks</c:v>
                </c:pt>
                <c:pt idx="10">
                  <c:v>Hats &amp; Headwear</c:v>
                </c:pt>
                <c:pt idx="11">
                  <c:v>Men’s Tees</c:v>
                </c:pt>
                <c:pt idx="12">
                  <c:v>Women’s Leggings</c:v>
                </c:pt>
                <c:pt idx="13">
                  <c:v>Basketball Shoes</c:v>
                </c:pt>
                <c:pt idx="14">
                  <c:v>Swimwear</c:v>
                </c:pt>
                <c:pt idx="15">
                  <c:v>Outerwear</c:v>
                </c:pt>
              </c:strCache>
            </c:strRef>
          </c:cat>
          <c:val>
            <c:numRef>
              <c:f>category_performance!$B$61:$B$77</c:f>
              <c:numCache>
                <c:formatCode>0.00</c:formatCode>
                <c:ptCount val="16"/>
                <c:pt idx="0">
                  <c:v>5.5246666666666675</c:v>
                </c:pt>
                <c:pt idx="1">
                  <c:v>4.6483333333333325</c:v>
                </c:pt>
                <c:pt idx="2">
                  <c:v>4.6257142857142863</c:v>
                </c:pt>
                <c:pt idx="3">
                  <c:v>4.3976923076923082</c:v>
                </c:pt>
                <c:pt idx="4">
                  <c:v>4.0263636363636364</c:v>
                </c:pt>
                <c:pt idx="5">
                  <c:v>3.9406250000000003</c:v>
                </c:pt>
                <c:pt idx="6">
                  <c:v>3.8393333333333333</c:v>
                </c:pt>
                <c:pt idx="7">
                  <c:v>3.5737500000000004</c:v>
                </c:pt>
                <c:pt idx="8">
                  <c:v>3.5322222222222224</c:v>
                </c:pt>
                <c:pt idx="9">
                  <c:v>2.9528571428571424</c:v>
                </c:pt>
                <c:pt idx="10">
                  <c:v>2.8779999999999997</c:v>
                </c:pt>
                <c:pt idx="11">
                  <c:v>2.8030769230769232</c:v>
                </c:pt>
                <c:pt idx="12">
                  <c:v>2.4547619047619045</c:v>
                </c:pt>
                <c:pt idx="13">
                  <c:v>2.3125</c:v>
                </c:pt>
                <c:pt idx="14">
                  <c:v>2.2288888888888891</c:v>
                </c:pt>
                <c:pt idx="15">
                  <c:v>1.6533333333333333</c:v>
                </c:pt>
              </c:numCache>
            </c:numRef>
          </c:val>
          <c:extLst>
            <c:ext xmlns:c16="http://schemas.microsoft.com/office/drawing/2014/chart" uri="{C3380CC4-5D6E-409C-BE32-E72D297353CC}">
              <c16:uniqueId val="{00000000-1918-4E02-807E-6E6A7724B06E}"/>
            </c:ext>
          </c:extLst>
        </c:ser>
        <c:dLbls>
          <c:showLegendKey val="0"/>
          <c:showVal val="0"/>
          <c:showCatName val="0"/>
          <c:showSerName val="0"/>
          <c:showPercent val="0"/>
          <c:showBubbleSize val="0"/>
        </c:dLbls>
        <c:gapWidth val="100"/>
        <c:overlap val="-24"/>
        <c:axId val="1708098479"/>
        <c:axId val="1708095119"/>
      </c:barChart>
      <c:catAx>
        <c:axId val="1708098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095119"/>
        <c:crosses val="autoZero"/>
        <c:auto val="1"/>
        <c:lblAlgn val="ctr"/>
        <c:lblOffset val="100"/>
        <c:noMultiLvlLbl val="0"/>
      </c:catAx>
      <c:valAx>
        <c:axId val="1708095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Weeks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09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[retail_performance_project.xlsx]profit_drivers!PivotTable4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Gross 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profit_drivers!$B$12</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profit_drivers!$A$13:$A$29</c:f>
              <c:strCache>
                <c:ptCount val="16"/>
                <c:pt idx="0">
                  <c:v>Women’s Leggings</c:v>
                </c:pt>
                <c:pt idx="1">
                  <c:v>Accessories</c:v>
                </c:pt>
                <c:pt idx="2">
                  <c:v>Hoodies</c:v>
                </c:pt>
                <c:pt idx="3">
                  <c:v>Bags &amp; Backpacks</c:v>
                </c:pt>
                <c:pt idx="4">
                  <c:v>Swimwear</c:v>
                </c:pt>
                <c:pt idx="5">
                  <c:v>Socks &amp; Underwear</c:v>
                </c:pt>
                <c:pt idx="6">
                  <c:v>Men’s Tees</c:v>
                </c:pt>
                <c:pt idx="7">
                  <c:v>Sports Bras</c:v>
                </c:pt>
                <c:pt idx="8">
                  <c:v>Running Shoes</c:v>
                </c:pt>
                <c:pt idx="9">
                  <c:v>Training Apparel</c:v>
                </c:pt>
                <c:pt idx="10">
                  <c:v>Gloves</c:v>
                </c:pt>
                <c:pt idx="11">
                  <c:v>Compression Gear</c:v>
                </c:pt>
                <c:pt idx="12">
                  <c:v>Kids Apparel</c:v>
                </c:pt>
                <c:pt idx="13">
                  <c:v>Basketball Shoes</c:v>
                </c:pt>
                <c:pt idx="14">
                  <c:v>Outerwear</c:v>
                </c:pt>
                <c:pt idx="15">
                  <c:v>Hats &amp; Headwear</c:v>
                </c:pt>
              </c:strCache>
            </c:strRef>
          </c:cat>
          <c:val>
            <c:numRef>
              <c:f>profit_drivers!$B$13:$B$29</c:f>
              <c:numCache>
                <c:formatCode>"$"#,##0</c:formatCode>
                <c:ptCount val="16"/>
                <c:pt idx="0">
                  <c:v>290940.47989999998</c:v>
                </c:pt>
                <c:pt idx="1">
                  <c:v>215521.66440000001</c:v>
                </c:pt>
                <c:pt idx="2">
                  <c:v>189896.47570000001</c:v>
                </c:pt>
                <c:pt idx="3">
                  <c:v>185958.43280000001</c:v>
                </c:pt>
                <c:pt idx="4">
                  <c:v>183812.47700000001</c:v>
                </c:pt>
                <c:pt idx="5">
                  <c:v>180213.89109999998</c:v>
                </c:pt>
                <c:pt idx="6">
                  <c:v>175277.06470000002</c:v>
                </c:pt>
                <c:pt idx="7">
                  <c:v>166918.73479999995</c:v>
                </c:pt>
                <c:pt idx="8">
                  <c:v>150855.791</c:v>
                </c:pt>
                <c:pt idx="9">
                  <c:v>144683.01240000001</c:v>
                </c:pt>
                <c:pt idx="10">
                  <c:v>143027.42020000002</c:v>
                </c:pt>
                <c:pt idx="11">
                  <c:v>131307.35399999999</c:v>
                </c:pt>
                <c:pt idx="12">
                  <c:v>127320.36240000001</c:v>
                </c:pt>
                <c:pt idx="13">
                  <c:v>84262.667100000006</c:v>
                </c:pt>
                <c:pt idx="14">
                  <c:v>54406.742100000003</c:v>
                </c:pt>
                <c:pt idx="15">
                  <c:v>51973.962</c:v>
                </c:pt>
              </c:numCache>
            </c:numRef>
          </c:val>
          <c:extLst>
            <c:ext xmlns:c16="http://schemas.microsoft.com/office/drawing/2014/chart" uri="{C3380CC4-5D6E-409C-BE32-E72D297353CC}">
              <c16:uniqueId val="{00000000-FB1B-441D-8321-25FDB975F3F6}"/>
            </c:ext>
          </c:extLst>
        </c:ser>
        <c:dLbls>
          <c:showLegendKey val="0"/>
          <c:showVal val="0"/>
          <c:showCatName val="0"/>
          <c:showSerName val="0"/>
          <c:showPercent val="0"/>
          <c:showBubbleSize val="0"/>
        </c:dLbls>
        <c:gapWidth val="100"/>
        <c:overlap val="-24"/>
        <c:axId val="1224607055"/>
        <c:axId val="1224603215"/>
      </c:barChart>
      <c:catAx>
        <c:axId val="1224607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03215"/>
        <c:crosses val="autoZero"/>
        <c:auto val="1"/>
        <c:lblAlgn val="ctr"/>
        <c:lblOffset val="100"/>
        <c:noMultiLvlLbl val="0"/>
      </c:catAx>
      <c:valAx>
        <c:axId val="1224603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0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[retail_performance_project.xlsx]profit_drivers!PivotTable2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Scale vs Efficiency Tension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profit_drivers!$B$37</c:f>
              <c:strCache>
                <c:ptCount val="1"/>
                <c:pt idx="0">
                  <c:v>Sum of GrossProfit_Week</c:v>
                </c:pt>
              </c:strCache>
            </c:strRef>
          </c:tx>
          <c:spPr>
            <a:solidFill>
              <a:schemeClr val="accent6"/>
            </a:solidFill>
            <a:ln>
              <a:noFill/>
            </a:ln>
            <a:effectLst>
              <a:outerShdw blurRad="57150" dist="19050" dir="5400000" algn="ctr" rotWithShape="0">
                <a:srgbClr val="000000">
                  <a:alpha val="63000"/>
                </a:srgbClr>
              </a:outerShdw>
            </a:effectLst>
          </c:spPr>
          <c:invertIfNegative val="0"/>
          <c:cat>
            <c:strRef>
              <c:f>profit_drivers!$A$38:$A$54</c:f>
              <c:strCache>
                <c:ptCount val="16"/>
                <c:pt idx="0">
                  <c:v>Women’s Leggings</c:v>
                </c:pt>
                <c:pt idx="1">
                  <c:v>Accessories</c:v>
                </c:pt>
                <c:pt idx="2">
                  <c:v>Hoodies</c:v>
                </c:pt>
                <c:pt idx="3">
                  <c:v>Bags &amp; Backpacks</c:v>
                </c:pt>
                <c:pt idx="4">
                  <c:v>Swimwear</c:v>
                </c:pt>
                <c:pt idx="5">
                  <c:v>Socks &amp; Underwear</c:v>
                </c:pt>
                <c:pt idx="6">
                  <c:v>Men’s Tees</c:v>
                </c:pt>
                <c:pt idx="7">
                  <c:v>Sports Bras</c:v>
                </c:pt>
                <c:pt idx="8">
                  <c:v>Running Shoes</c:v>
                </c:pt>
                <c:pt idx="9">
                  <c:v>Training Apparel</c:v>
                </c:pt>
                <c:pt idx="10">
                  <c:v>Gloves</c:v>
                </c:pt>
                <c:pt idx="11">
                  <c:v>Compression Gear</c:v>
                </c:pt>
                <c:pt idx="12">
                  <c:v>Kids Apparel</c:v>
                </c:pt>
                <c:pt idx="13">
                  <c:v>Basketball Shoes</c:v>
                </c:pt>
                <c:pt idx="14">
                  <c:v>Outerwear</c:v>
                </c:pt>
                <c:pt idx="15">
                  <c:v>Hats &amp; Headwear</c:v>
                </c:pt>
              </c:strCache>
            </c:strRef>
          </c:cat>
          <c:val>
            <c:numRef>
              <c:f>profit_drivers!$B$38:$B$54</c:f>
              <c:numCache>
                <c:formatCode>"$"#,##0</c:formatCode>
                <c:ptCount val="16"/>
                <c:pt idx="0">
                  <c:v>290940.47989999998</c:v>
                </c:pt>
                <c:pt idx="1">
                  <c:v>215521.66440000001</c:v>
                </c:pt>
                <c:pt idx="2">
                  <c:v>189896.47570000001</c:v>
                </c:pt>
                <c:pt idx="3">
                  <c:v>185958.43280000001</c:v>
                </c:pt>
                <c:pt idx="4">
                  <c:v>183812.47700000001</c:v>
                </c:pt>
                <c:pt idx="5">
                  <c:v>180213.89109999998</c:v>
                </c:pt>
                <c:pt idx="6">
                  <c:v>175277.06470000002</c:v>
                </c:pt>
                <c:pt idx="7">
                  <c:v>166918.73479999995</c:v>
                </c:pt>
                <c:pt idx="8">
                  <c:v>150855.791</c:v>
                </c:pt>
                <c:pt idx="9">
                  <c:v>144683.01240000001</c:v>
                </c:pt>
                <c:pt idx="10">
                  <c:v>143027.42020000002</c:v>
                </c:pt>
                <c:pt idx="11">
                  <c:v>131307.35399999999</c:v>
                </c:pt>
                <c:pt idx="12">
                  <c:v>127320.36240000001</c:v>
                </c:pt>
                <c:pt idx="13">
                  <c:v>84262.667100000006</c:v>
                </c:pt>
                <c:pt idx="14">
                  <c:v>54406.742100000003</c:v>
                </c:pt>
                <c:pt idx="15">
                  <c:v>51973.962</c:v>
                </c:pt>
              </c:numCache>
            </c:numRef>
          </c:val>
          <c:extLst>
            <c:ext xmlns:c16="http://schemas.microsoft.com/office/drawing/2014/chart" uri="{C3380CC4-5D6E-409C-BE32-E72D297353CC}">
              <c16:uniqueId val="{00000000-2097-4414-B7A2-E9B6223CA987}"/>
            </c:ext>
          </c:extLst>
        </c:ser>
        <c:dLbls>
          <c:showLegendKey val="0"/>
          <c:showVal val="0"/>
          <c:showCatName val="0"/>
          <c:showSerName val="0"/>
          <c:showPercent val="0"/>
          <c:showBubbleSize val="0"/>
        </c:dLbls>
        <c:gapWidth val="219"/>
        <c:overlap val="-27"/>
        <c:axId val="1179238912"/>
        <c:axId val="1179239392"/>
      </c:barChart>
      <c:lineChart>
        <c:grouping val="standard"/>
        <c:varyColors val="0"/>
        <c:ser>
          <c:idx val="1"/>
          <c:order val="1"/>
          <c:tx>
            <c:strRef>
              <c:f>profit_drivers!$C$37</c:f>
              <c:strCache>
                <c:ptCount val="1"/>
                <c:pt idx="0">
                  <c:v>Average of MarginPct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profit_drivers!$A$38:$A$54</c:f>
              <c:strCache>
                <c:ptCount val="16"/>
                <c:pt idx="0">
                  <c:v>Women’s Leggings</c:v>
                </c:pt>
                <c:pt idx="1">
                  <c:v>Accessories</c:v>
                </c:pt>
                <c:pt idx="2">
                  <c:v>Hoodies</c:v>
                </c:pt>
                <c:pt idx="3">
                  <c:v>Bags &amp; Backpacks</c:v>
                </c:pt>
                <c:pt idx="4">
                  <c:v>Swimwear</c:v>
                </c:pt>
                <c:pt idx="5">
                  <c:v>Socks &amp; Underwear</c:v>
                </c:pt>
                <c:pt idx="6">
                  <c:v>Men’s Tees</c:v>
                </c:pt>
                <c:pt idx="7">
                  <c:v>Sports Bras</c:v>
                </c:pt>
                <c:pt idx="8">
                  <c:v>Running Shoes</c:v>
                </c:pt>
                <c:pt idx="9">
                  <c:v>Training Apparel</c:v>
                </c:pt>
                <c:pt idx="10">
                  <c:v>Gloves</c:v>
                </c:pt>
                <c:pt idx="11">
                  <c:v>Compression Gear</c:v>
                </c:pt>
                <c:pt idx="12">
                  <c:v>Kids Apparel</c:v>
                </c:pt>
                <c:pt idx="13">
                  <c:v>Basketball Shoes</c:v>
                </c:pt>
                <c:pt idx="14">
                  <c:v>Outerwear</c:v>
                </c:pt>
                <c:pt idx="15">
                  <c:v>Hats &amp; Headwear</c:v>
                </c:pt>
              </c:strCache>
            </c:strRef>
          </c:cat>
          <c:val>
            <c:numRef>
              <c:f>profit_drivers!$C$38:$C$54</c:f>
              <c:numCache>
                <c:formatCode>0.00%</c:formatCode>
                <c:ptCount val="16"/>
                <c:pt idx="0">
                  <c:v>0.46628571428571419</c:v>
                </c:pt>
                <c:pt idx="1">
                  <c:v>0.40947500000000003</c:v>
                </c:pt>
                <c:pt idx="2">
                  <c:v>0.45033571428571423</c:v>
                </c:pt>
                <c:pt idx="3">
                  <c:v>0.42806428571428567</c:v>
                </c:pt>
                <c:pt idx="4">
                  <c:v>0.51425555555555558</c:v>
                </c:pt>
                <c:pt idx="5">
                  <c:v>0.47129374999999996</c:v>
                </c:pt>
                <c:pt idx="6">
                  <c:v>0.44616923076923076</c:v>
                </c:pt>
                <c:pt idx="7">
                  <c:v>0.4930888888888888</c:v>
                </c:pt>
                <c:pt idx="8">
                  <c:v>0.46654545454545443</c:v>
                </c:pt>
                <c:pt idx="9">
                  <c:v>0.51625555555555547</c:v>
                </c:pt>
                <c:pt idx="10">
                  <c:v>0.48121333333333333</c:v>
                </c:pt>
                <c:pt idx="11">
                  <c:v>0.45292307692307693</c:v>
                </c:pt>
                <c:pt idx="12">
                  <c:v>0.48675333333333332</c:v>
                </c:pt>
                <c:pt idx="13">
                  <c:v>0.51467499999999999</c:v>
                </c:pt>
                <c:pt idx="14">
                  <c:v>0.44143333333333334</c:v>
                </c:pt>
                <c:pt idx="15">
                  <c:v>0.47221999999999997</c:v>
                </c:pt>
              </c:numCache>
            </c:numRef>
          </c:val>
          <c:smooth val="0"/>
          <c:extLst>
            <c:ext xmlns:c16="http://schemas.microsoft.com/office/drawing/2014/chart" uri="{C3380CC4-5D6E-409C-BE32-E72D297353CC}">
              <c16:uniqueId val="{00000001-2097-4414-B7A2-E9B6223CA987}"/>
            </c:ext>
          </c:extLst>
        </c:ser>
        <c:dLbls>
          <c:showLegendKey val="0"/>
          <c:showVal val="0"/>
          <c:showCatName val="0"/>
          <c:showSerName val="0"/>
          <c:showPercent val="0"/>
          <c:showBubbleSize val="0"/>
        </c:dLbls>
        <c:marker val="1"/>
        <c:smooth val="0"/>
        <c:axId val="1118267920"/>
        <c:axId val="1118276560"/>
      </c:lineChart>
      <c:catAx>
        <c:axId val="1179238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39392"/>
        <c:crosses val="autoZero"/>
        <c:auto val="1"/>
        <c:lblAlgn val="ctr"/>
        <c:lblOffset val="100"/>
        <c:noMultiLvlLbl val="0"/>
      </c:catAx>
      <c:valAx>
        <c:axId val="1179239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38912"/>
        <c:crosses val="autoZero"/>
        <c:crossBetween val="between"/>
      </c:valAx>
      <c:valAx>
        <c:axId val="111827656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267920"/>
        <c:crosses val="max"/>
        <c:crossBetween val="between"/>
      </c:valAx>
      <c:catAx>
        <c:axId val="1118267920"/>
        <c:scaling>
          <c:orientation val="minMax"/>
        </c:scaling>
        <c:delete val="1"/>
        <c:axPos val="b"/>
        <c:numFmt formatCode="General" sourceLinked="1"/>
        <c:majorTickMark val="none"/>
        <c:minorTickMark val="none"/>
        <c:tickLblPos val="nextTo"/>
        <c:crossAx val="11182765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104774</xdr:colOff>
      <xdr:row>0</xdr:row>
      <xdr:rowOff>85725</xdr:rowOff>
    </xdr:from>
    <xdr:to>
      <xdr:col>4</xdr:col>
      <xdr:colOff>619125</xdr:colOff>
      <xdr:row>4</xdr:row>
      <xdr:rowOff>57150</xdr:rowOff>
    </xdr:to>
    <xdr:sp macro="" textlink="">
      <xdr:nvSpPr>
        <xdr:cNvPr id="2" name="TextBox 1">
          <a:extLst>
            <a:ext uri="{FF2B5EF4-FFF2-40B4-BE49-F238E27FC236}">
              <a16:creationId xmlns:a16="http://schemas.microsoft.com/office/drawing/2014/main" id="{E154BC28-5AE5-9B67-3D69-DA057A698329}"/>
            </a:ext>
          </a:extLst>
        </xdr:cNvPr>
        <xdr:cNvSpPr txBox="1"/>
      </xdr:nvSpPr>
      <xdr:spPr>
        <a:xfrm>
          <a:off x="104774" y="85725"/>
          <a:ext cx="5114926" cy="73342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a:solidFill>
                <a:schemeClr val="bg1"/>
              </a:solidFill>
            </a:rPr>
            <a:t>Promotion Performance Analysis</a:t>
          </a:r>
        </a:p>
      </xdr:txBody>
    </xdr:sp>
    <xdr:clientData/>
  </xdr:twoCellAnchor>
  <xdr:twoCellAnchor>
    <xdr:from>
      <xdr:col>0</xdr:col>
      <xdr:colOff>485777</xdr:colOff>
      <xdr:row>4</xdr:row>
      <xdr:rowOff>123823</xdr:rowOff>
    </xdr:from>
    <xdr:to>
      <xdr:col>4</xdr:col>
      <xdr:colOff>180976</xdr:colOff>
      <xdr:row>9</xdr:row>
      <xdr:rowOff>28574</xdr:rowOff>
    </xdr:to>
    <xdr:sp macro="" textlink="">
      <xdr:nvSpPr>
        <xdr:cNvPr id="3" name="TextBox 2">
          <a:extLst>
            <a:ext uri="{FF2B5EF4-FFF2-40B4-BE49-F238E27FC236}">
              <a16:creationId xmlns:a16="http://schemas.microsoft.com/office/drawing/2014/main" id="{1D777FD6-86B4-24A2-1426-C8356F010624}"/>
            </a:ext>
          </a:extLst>
        </xdr:cNvPr>
        <xdr:cNvSpPr txBox="1"/>
      </xdr:nvSpPr>
      <xdr:spPr>
        <a:xfrm>
          <a:off x="485777" y="885823"/>
          <a:ext cx="4295774" cy="857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Do promotions meaningfully improve revenue or inventory efficiency relative to full-price products?</a:t>
          </a:r>
        </a:p>
      </xdr:txBody>
    </xdr:sp>
    <xdr:clientData/>
  </xdr:twoCellAnchor>
  <xdr:twoCellAnchor>
    <xdr:from>
      <xdr:col>0</xdr:col>
      <xdr:colOff>600074</xdr:colOff>
      <xdr:row>9</xdr:row>
      <xdr:rowOff>180974</xdr:rowOff>
    </xdr:from>
    <xdr:to>
      <xdr:col>4</xdr:col>
      <xdr:colOff>714374</xdr:colOff>
      <xdr:row>35</xdr:row>
      <xdr:rowOff>171450</xdr:rowOff>
    </xdr:to>
    <xdr:graphicFrame macro="">
      <xdr:nvGraphicFramePr>
        <xdr:cNvPr id="4" name="Chart 3">
          <a:extLst>
            <a:ext uri="{FF2B5EF4-FFF2-40B4-BE49-F238E27FC236}">
              <a16:creationId xmlns:a16="http://schemas.microsoft.com/office/drawing/2014/main" id="{60F2A959-B499-AF38-2AAB-FD6660C9A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1657348</xdr:colOff>
      <xdr:row>7</xdr:row>
      <xdr:rowOff>47625</xdr:rowOff>
    </xdr:from>
    <xdr:to>
      <xdr:col>7</xdr:col>
      <xdr:colOff>857249</xdr:colOff>
      <xdr:row>9</xdr:row>
      <xdr:rowOff>133350</xdr:rowOff>
    </xdr:to>
    <xdr:sp macro="" textlink="">
      <xdr:nvSpPr>
        <xdr:cNvPr id="5" name="TextBox 4">
          <a:extLst>
            <a:ext uri="{FF2B5EF4-FFF2-40B4-BE49-F238E27FC236}">
              <a16:creationId xmlns:a16="http://schemas.microsoft.com/office/drawing/2014/main" id="{746A3621-21C5-B73F-94B1-A515788907F4}"/>
            </a:ext>
          </a:extLst>
        </xdr:cNvPr>
        <xdr:cNvSpPr txBox="1"/>
      </xdr:nvSpPr>
      <xdr:spPr>
        <a:xfrm>
          <a:off x="8839198" y="1381125"/>
          <a:ext cx="1752601"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sng"/>
            <a:t>Key Insights</a:t>
          </a:r>
        </a:p>
      </xdr:txBody>
    </xdr:sp>
    <xdr:clientData/>
  </xdr:twoCellAnchor>
  <xdr:twoCellAnchor>
    <xdr:from>
      <xdr:col>5</xdr:col>
      <xdr:colOff>1647824</xdr:colOff>
      <xdr:row>11</xdr:row>
      <xdr:rowOff>28574</xdr:rowOff>
    </xdr:from>
    <xdr:to>
      <xdr:col>9</xdr:col>
      <xdr:colOff>1057274</xdr:colOff>
      <xdr:row>27</xdr:row>
      <xdr:rowOff>19049</xdr:rowOff>
    </xdr:to>
    <xdr:sp macro="" textlink="">
      <xdr:nvSpPr>
        <xdr:cNvPr id="6" name="TextBox 5">
          <a:extLst>
            <a:ext uri="{FF2B5EF4-FFF2-40B4-BE49-F238E27FC236}">
              <a16:creationId xmlns:a16="http://schemas.microsoft.com/office/drawing/2014/main" id="{1ADDD7F0-FD3E-630A-2CA8-97DB09E4BAA2}"/>
            </a:ext>
          </a:extLst>
        </xdr:cNvPr>
        <xdr:cNvSpPr txBox="1"/>
      </xdr:nvSpPr>
      <xdr:spPr>
        <a:xfrm>
          <a:off x="8829674" y="2124074"/>
          <a:ext cx="4962525" cy="3038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 Full-price items drive both higher revenue and higher margin.</a:t>
          </a:r>
        </a:p>
        <a:p>
          <a:br>
            <a:rPr lang="en-US" sz="1800"/>
          </a:br>
          <a:r>
            <a:rPr lang="en-US" sz="1800"/>
            <a:t>• Promotions reduce margin by ~10.7pp.</a:t>
          </a:r>
        </a:p>
        <a:p>
          <a:br>
            <a:rPr lang="en-US" sz="1800"/>
          </a:br>
          <a:r>
            <a:rPr lang="en-US" sz="1800"/>
            <a:t>• Velocity metrics (sell-through and weeks of supply) show minimal improvement from discounting.</a:t>
          </a:r>
        </a:p>
        <a:p>
          <a:br>
            <a:rPr lang="en-US" sz="1800"/>
          </a:br>
          <a:r>
            <a:rPr lang="en-US" sz="1800"/>
            <a:t>• Promotions appear to lower profitability without materially increasing sales efficiency.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95250</xdr:rowOff>
    </xdr:from>
    <xdr:to>
      <xdr:col>13</xdr:col>
      <xdr:colOff>518583</xdr:colOff>
      <xdr:row>4</xdr:row>
      <xdr:rowOff>66675</xdr:rowOff>
    </xdr:to>
    <xdr:sp macro="" textlink="">
      <xdr:nvSpPr>
        <xdr:cNvPr id="2" name="TextBox 1">
          <a:extLst>
            <a:ext uri="{FF2B5EF4-FFF2-40B4-BE49-F238E27FC236}">
              <a16:creationId xmlns:a16="http://schemas.microsoft.com/office/drawing/2014/main" id="{EDF42FF4-7A64-5706-1D68-2B5B1067AB1D}"/>
            </a:ext>
          </a:extLst>
        </xdr:cNvPr>
        <xdr:cNvSpPr txBox="1"/>
      </xdr:nvSpPr>
      <xdr:spPr>
        <a:xfrm>
          <a:off x="95250" y="95250"/>
          <a:ext cx="11154833" cy="73342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bg1"/>
              </a:solidFill>
            </a:rPr>
            <a:t>Category Performance &amp; Inventory Efficiency Overview</a:t>
          </a:r>
        </a:p>
      </xdr:txBody>
    </xdr:sp>
    <xdr:clientData/>
  </xdr:twoCellAnchor>
  <xdr:twoCellAnchor>
    <xdr:from>
      <xdr:col>1</xdr:col>
      <xdr:colOff>342900</xdr:colOff>
      <xdr:row>4</xdr:row>
      <xdr:rowOff>142875</xdr:rowOff>
    </xdr:from>
    <xdr:to>
      <xdr:col>11</xdr:col>
      <xdr:colOff>314325</xdr:colOff>
      <xdr:row>8</xdr:row>
      <xdr:rowOff>9525</xdr:rowOff>
    </xdr:to>
    <xdr:sp macro="" textlink="">
      <xdr:nvSpPr>
        <xdr:cNvPr id="3" name="TextBox 2">
          <a:extLst>
            <a:ext uri="{FF2B5EF4-FFF2-40B4-BE49-F238E27FC236}">
              <a16:creationId xmlns:a16="http://schemas.microsoft.com/office/drawing/2014/main" id="{6F87B3E5-0F5D-EAFA-A78A-E37BABF03472}"/>
            </a:ext>
          </a:extLst>
        </xdr:cNvPr>
        <xdr:cNvSpPr txBox="1"/>
      </xdr:nvSpPr>
      <xdr:spPr>
        <a:xfrm>
          <a:off x="1552575" y="904875"/>
          <a:ext cx="8296275"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Which product categories are driving profitable growth, and which show signs of inventory risk or underperformance?</a:t>
          </a:r>
        </a:p>
      </xdr:txBody>
    </xdr:sp>
    <xdr:clientData/>
  </xdr:twoCellAnchor>
  <xdr:twoCellAnchor>
    <xdr:from>
      <xdr:col>2</xdr:col>
      <xdr:colOff>390523</xdr:colOff>
      <xdr:row>10</xdr:row>
      <xdr:rowOff>66674</xdr:rowOff>
    </xdr:from>
    <xdr:to>
      <xdr:col>16</xdr:col>
      <xdr:colOff>333374</xdr:colOff>
      <xdr:row>30</xdr:row>
      <xdr:rowOff>180975</xdr:rowOff>
    </xdr:to>
    <xdr:graphicFrame macro="">
      <xdr:nvGraphicFramePr>
        <xdr:cNvPr id="4" name="Chart 3">
          <a:extLst>
            <a:ext uri="{FF2B5EF4-FFF2-40B4-BE49-F238E27FC236}">
              <a16:creationId xmlns:a16="http://schemas.microsoft.com/office/drawing/2014/main" id="{81B04218-995D-B978-3D06-AB7D56100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352425</xdr:colOff>
      <xdr:row>32</xdr:row>
      <xdr:rowOff>152400</xdr:rowOff>
    </xdr:from>
    <xdr:to>
      <xdr:col>20</xdr:col>
      <xdr:colOff>518584</xdr:colOff>
      <xdr:row>54</xdr:row>
      <xdr:rowOff>161925</xdr:rowOff>
    </xdr:to>
    <xdr:graphicFrame macro="">
      <xdr:nvGraphicFramePr>
        <xdr:cNvPr id="5" name="Chart 4">
          <a:extLst>
            <a:ext uri="{FF2B5EF4-FFF2-40B4-BE49-F238E27FC236}">
              <a16:creationId xmlns:a16="http://schemas.microsoft.com/office/drawing/2014/main" id="{2E7511C4-595C-9EFD-AA6A-EFDA5061D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428625</xdr:colOff>
      <xdr:row>57</xdr:row>
      <xdr:rowOff>95250</xdr:rowOff>
    </xdr:from>
    <xdr:to>
      <xdr:col>17</xdr:col>
      <xdr:colOff>560917</xdr:colOff>
      <xdr:row>79</xdr:row>
      <xdr:rowOff>0</xdr:rowOff>
    </xdr:to>
    <xdr:graphicFrame macro="">
      <xdr:nvGraphicFramePr>
        <xdr:cNvPr id="6" name="Chart 5">
          <a:extLst>
            <a:ext uri="{FF2B5EF4-FFF2-40B4-BE49-F238E27FC236}">
              <a16:creationId xmlns:a16="http://schemas.microsoft.com/office/drawing/2014/main" id="{520AC9E7-F0EF-6A35-57EE-B0443980C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600075</xdr:colOff>
      <xdr:row>3</xdr:row>
      <xdr:rowOff>152400</xdr:rowOff>
    </xdr:from>
    <xdr:to>
      <xdr:col>22</xdr:col>
      <xdr:colOff>523875</xdr:colOff>
      <xdr:row>6</xdr:row>
      <xdr:rowOff>47625</xdr:rowOff>
    </xdr:to>
    <xdr:sp macro="" textlink="">
      <xdr:nvSpPr>
        <xdr:cNvPr id="7" name="TextBox 6">
          <a:extLst>
            <a:ext uri="{FF2B5EF4-FFF2-40B4-BE49-F238E27FC236}">
              <a16:creationId xmlns:a16="http://schemas.microsoft.com/office/drawing/2014/main" id="{8094B13C-94C1-4BFA-A6E3-473ABBE0224C}"/>
            </a:ext>
          </a:extLst>
        </xdr:cNvPr>
        <xdr:cNvSpPr txBox="1"/>
      </xdr:nvSpPr>
      <xdr:spPr>
        <a:xfrm>
          <a:off x="15011400" y="723900"/>
          <a:ext cx="17526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sng"/>
            <a:t>Key</a:t>
          </a:r>
          <a:r>
            <a:rPr lang="en-US" sz="2400" b="1" u="sng" baseline="0"/>
            <a:t> </a:t>
          </a:r>
          <a:r>
            <a:rPr lang="en-US" sz="2400" b="1" u="sng"/>
            <a:t>Insights</a:t>
          </a:r>
        </a:p>
      </xdr:txBody>
    </xdr:sp>
    <xdr:clientData/>
  </xdr:twoCellAnchor>
  <xdr:oneCellAnchor>
    <xdr:from>
      <xdr:col>19</xdr:col>
      <xdr:colOff>590550</xdr:colOff>
      <xdr:row>7</xdr:row>
      <xdr:rowOff>57150</xdr:rowOff>
    </xdr:from>
    <xdr:ext cx="8020050" cy="4036746"/>
    <xdr:sp macro="" textlink="">
      <xdr:nvSpPr>
        <xdr:cNvPr id="8" name="TextBox 7">
          <a:extLst>
            <a:ext uri="{FF2B5EF4-FFF2-40B4-BE49-F238E27FC236}">
              <a16:creationId xmlns:a16="http://schemas.microsoft.com/office/drawing/2014/main" id="{FC719FAF-CCBC-ED2D-519A-01C2AB02888D}"/>
            </a:ext>
          </a:extLst>
        </xdr:cNvPr>
        <xdr:cNvSpPr txBox="1"/>
      </xdr:nvSpPr>
      <xdr:spPr>
        <a:xfrm>
          <a:off x="15005050" y="1390650"/>
          <a:ext cx="8020050" cy="4036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t>• Women’s Leggings is the strongest balanced performer, combining the highest revenue with above-average sell-through and efficient inventory coverage.</a:t>
          </a:r>
        </a:p>
        <a:p>
          <a:endParaRPr lang="en-US" sz="1800"/>
        </a:p>
        <a:p>
          <a:r>
            <a:rPr lang="en-US" sz="1800"/>
            <a:t>• Outerwear and Swimwear demonstrate strong velocity and low weeks of supply, suggesting potential under-allocation relative to demand.</a:t>
          </a:r>
        </a:p>
        <a:p>
          <a:endParaRPr lang="en-US" sz="1800"/>
        </a:p>
        <a:p>
          <a:r>
            <a:rPr lang="en-US" sz="1800"/>
            <a:t>• Kids Apparel shows the highest weeks of supply and below-average sell-through, indicating elevated inventory exposure.</a:t>
          </a:r>
        </a:p>
        <a:p>
          <a:endParaRPr lang="en-US" sz="1800"/>
        </a:p>
        <a:p>
          <a:r>
            <a:rPr lang="en-US" sz="1800"/>
            <a:t>• Accessories and Hoodies generate significant revenue but exhibit slower inventory movement compared to top-performing categories.</a:t>
          </a:r>
        </a:p>
        <a:p>
          <a:endParaRPr lang="en-US" sz="1800"/>
        </a:p>
        <a:p>
          <a:r>
            <a:rPr lang="en-US" sz="1800"/>
            <a:t>• Inventory efficiency varies meaningfully across categories, suggesting opportunity to optimize capital allocation.</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66674</xdr:colOff>
      <xdr:row>0</xdr:row>
      <xdr:rowOff>66674</xdr:rowOff>
    </xdr:from>
    <xdr:to>
      <xdr:col>5</xdr:col>
      <xdr:colOff>381000</xdr:colOff>
      <xdr:row>3</xdr:row>
      <xdr:rowOff>171449</xdr:rowOff>
    </xdr:to>
    <xdr:sp macro="" textlink="">
      <xdr:nvSpPr>
        <xdr:cNvPr id="2" name="TextBox 1">
          <a:extLst>
            <a:ext uri="{FF2B5EF4-FFF2-40B4-BE49-F238E27FC236}">
              <a16:creationId xmlns:a16="http://schemas.microsoft.com/office/drawing/2014/main" id="{3372644B-3A07-D2B5-45FB-6D8352900351}"/>
            </a:ext>
          </a:extLst>
        </xdr:cNvPr>
        <xdr:cNvSpPr txBox="1"/>
      </xdr:nvSpPr>
      <xdr:spPr>
        <a:xfrm>
          <a:off x="66674" y="66674"/>
          <a:ext cx="6429376" cy="6762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bg1"/>
              </a:solidFill>
            </a:rPr>
            <a:t>Profit Contribution &amp; Efficiency Analysis</a:t>
          </a:r>
        </a:p>
      </xdr:txBody>
    </xdr:sp>
    <xdr:clientData/>
  </xdr:twoCellAnchor>
  <xdr:twoCellAnchor>
    <xdr:from>
      <xdr:col>0</xdr:col>
      <xdr:colOff>66676</xdr:colOff>
      <xdr:row>4</xdr:row>
      <xdr:rowOff>85726</xdr:rowOff>
    </xdr:from>
    <xdr:to>
      <xdr:col>6</xdr:col>
      <xdr:colOff>504825</xdr:colOff>
      <xdr:row>7</xdr:row>
      <xdr:rowOff>114300</xdr:rowOff>
    </xdr:to>
    <xdr:sp macro="" textlink="">
      <xdr:nvSpPr>
        <xdr:cNvPr id="3" name="TextBox 2">
          <a:extLst>
            <a:ext uri="{FF2B5EF4-FFF2-40B4-BE49-F238E27FC236}">
              <a16:creationId xmlns:a16="http://schemas.microsoft.com/office/drawing/2014/main" id="{26D5BEA1-812A-3FE5-FE7B-C7594610A80E}"/>
            </a:ext>
          </a:extLst>
        </xdr:cNvPr>
        <xdr:cNvSpPr txBox="1"/>
      </xdr:nvSpPr>
      <xdr:spPr>
        <a:xfrm>
          <a:off x="66676" y="847726"/>
          <a:ext cx="7162799" cy="600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Which categories contribute the most gross profit, and how efficiently is that profit generated?</a:t>
          </a:r>
        </a:p>
      </xdr:txBody>
    </xdr:sp>
    <xdr:clientData/>
  </xdr:twoCellAnchor>
  <xdr:twoCellAnchor>
    <xdr:from>
      <xdr:col>2</xdr:col>
      <xdr:colOff>152398</xdr:colOff>
      <xdr:row>8</xdr:row>
      <xdr:rowOff>123825</xdr:rowOff>
    </xdr:from>
    <xdr:to>
      <xdr:col>14</xdr:col>
      <xdr:colOff>323850</xdr:colOff>
      <xdr:row>31</xdr:row>
      <xdr:rowOff>9525</xdr:rowOff>
    </xdr:to>
    <xdr:graphicFrame macro="">
      <xdr:nvGraphicFramePr>
        <xdr:cNvPr id="4" name="Chart 3">
          <a:extLst>
            <a:ext uri="{FF2B5EF4-FFF2-40B4-BE49-F238E27FC236}">
              <a16:creationId xmlns:a16="http://schemas.microsoft.com/office/drawing/2014/main" id="{A3DF5FBA-54C5-8FC0-6341-55F58EF2F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333374</xdr:colOff>
      <xdr:row>34</xdr:row>
      <xdr:rowOff>47625</xdr:rowOff>
    </xdr:from>
    <xdr:to>
      <xdr:col>17</xdr:col>
      <xdr:colOff>171450</xdr:colOff>
      <xdr:row>55</xdr:row>
      <xdr:rowOff>85725</xdr:rowOff>
    </xdr:to>
    <xdr:graphicFrame macro="">
      <xdr:nvGraphicFramePr>
        <xdr:cNvPr id="5" name="Chart 4">
          <a:extLst>
            <a:ext uri="{FF2B5EF4-FFF2-40B4-BE49-F238E27FC236}">
              <a16:creationId xmlns:a16="http://schemas.microsoft.com/office/drawing/2014/main" id="{1A1D6E14-531C-7011-0B0C-79862C51B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38100</xdr:colOff>
      <xdr:row>3</xdr:row>
      <xdr:rowOff>171450</xdr:rowOff>
    </xdr:from>
    <xdr:to>
      <xdr:col>17</xdr:col>
      <xdr:colOff>276225</xdr:colOff>
      <xdr:row>6</xdr:row>
      <xdr:rowOff>104775</xdr:rowOff>
    </xdr:to>
    <xdr:sp macro="" textlink="">
      <xdr:nvSpPr>
        <xdr:cNvPr id="6" name="TextBox 5">
          <a:extLst>
            <a:ext uri="{FF2B5EF4-FFF2-40B4-BE49-F238E27FC236}">
              <a16:creationId xmlns:a16="http://schemas.microsoft.com/office/drawing/2014/main" id="{4B84B7B7-D63C-B476-6817-6811137AF329}"/>
            </a:ext>
          </a:extLst>
        </xdr:cNvPr>
        <xdr:cNvSpPr txBox="1"/>
      </xdr:nvSpPr>
      <xdr:spPr>
        <a:xfrm>
          <a:off x="14620875" y="742950"/>
          <a:ext cx="1714500" cy="504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u="sng"/>
            <a:t>Key Insights</a:t>
          </a:r>
        </a:p>
      </xdr:txBody>
    </xdr:sp>
    <xdr:clientData/>
  </xdr:twoCellAnchor>
  <xdr:twoCellAnchor>
    <xdr:from>
      <xdr:col>16</xdr:col>
      <xdr:colOff>28575</xdr:colOff>
      <xdr:row>7</xdr:row>
      <xdr:rowOff>28575</xdr:rowOff>
    </xdr:from>
    <xdr:to>
      <xdr:col>21</xdr:col>
      <xdr:colOff>904875</xdr:colOff>
      <xdr:row>28</xdr:row>
      <xdr:rowOff>104775</xdr:rowOff>
    </xdr:to>
    <xdr:sp macro="" textlink="">
      <xdr:nvSpPr>
        <xdr:cNvPr id="7" name="TextBox 6">
          <a:extLst>
            <a:ext uri="{FF2B5EF4-FFF2-40B4-BE49-F238E27FC236}">
              <a16:creationId xmlns:a16="http://schemas.microsoft.com/office/drawing/2014/main" id="{659FFB32-30B7-3214-F4DA-291E19B6C078}"/>
            </a:ext>
          </a:extLst>
        </xdr:cNvPr>
        <xdr:cNvSpPr txBox="1"/>
      </xdr:nvSpPr>
      <xdr:spPr>
        <a:xfrm>
          <a:off x="14611350" y="1362075"/>
          <a:ext cx="8001000" cy="407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 Women’s Leggings is the largest profit contributor ($291K) while maintaining margin performance near the company average, indicating strong scale without margin erosion.</a:t>
          </a:r>
        </a:p>
        <a:p>
          <a:endParaRPr lang="en-US" sz="1800"/>
        </a:p>
        <a:p>
          <a:r>
            <a:rPr lang="en-US" sz="1800"/>
            <a:t>• Accessories generates the second-highest profit due to revenue scale but operates below the company’s average margin (40.9%), suggesting an opportunity to improve pricing or cost efficiency.</a:t>
          </a:r>
        </a:p>
        <a:p>
          <a:endParaRPr lang="en-US" sz="1800"/>
        </a:p>
        <a:p>
          <a:r>
            <a:rPr lang="en-US" sz="1800"/>
            <a:t>• Swimwear, Training Apparel, and Basketball Shoes exhibit the highest margins (~51%), indicating strong unit economics and potential opportunity to scale revenue in these categories.</a:t>
          </a:r>
        </a:p>
        <a:p>
          <a:endParaRPr lang="en-US" sz="1800"/>
        </a:p>
        <a:p>
          <a:r>
            <a:rPr lang="en-US" sz="1800"/>
            <a:t>• Margin variation across categories meaningfully impacts profit contribution, with higher-margin categories outperforming revenue expectations.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10</xdr:col>
      <xdr:colOff>0</xdr:colOff>
      <xdr:row>4</xdr:row>
      <xdr:rowOff>28575</xdr:rowOff>
    </xdr:to>
    <xdr:sp macro="" textlink="">
      <xdr:nvSpPr>
        <xdr:cNvPr id="2" name="TextBox 1">
          <a:extLst>
            <a:ext uri="{FF2B5EF4-FFF2-40B4-BE49-F238E27FC236}">
              <a16:creationId xmlns:a16="http://schemas.microsoft.com/office/drawing/2014/main" id="{47FCB7D8-73B2-746B-4554-A6495FD0AE2F}"/>
            </a:ext>
          </a:extLst>
        </xdr:cNvPr>
        <xdr:cNvSpPr txBox="1"/>
      </xdr:nvSpPr>
      <xdr:spPr>
        <a:xfrm>
          <a:off x="104775" y="95250"/>
          <a:ext cx="5991225" cy="69532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bg1"/>
              </a:solidFill>
            </a:rPr>
            <a:t>Strategic Recommendations</a:t>
          </a:r>
        </a:p>
      </xdr:txBody>
    </xdr:sp>
    <xdr:clientData/>
  </xdr:twoCellAnchor>
  <xdr:twoCellAnchor>
    <xdr:from>
      <xdr:col>0</xdr:col>
      <xdr:colOff>104776</xdr:colOff>
      <xdr:row>4</xdr:row>
      <xdr:rowOff>114300</xdr:rowOff>
    </xdr:from>
    <xdr:to>
      <xdr:col>10</xdr:col>
      <xdr:colOff>371476</xdr:colOff>
      <xdr:row>7</xdr:row>
      <xdr:rowOff>133350</xdr:rowOff>
    </xdr:to>
    <xdr:sp macro="" textlink="">
      <xdr:nvSpPr>
        <xdr:cNvPr id="3" name="TextBox 2">
          <a:extLst>
            <a:ext uri="{FF2B5EF4-FFF2-40B4-BE49-F238E27FC236}">
              <a16:creationId xmlns:a16="http://schemas.microsoft.com/office/drawing/2014/main" id="{A857D437-5414-68F7-E627-F3A2EF221918}"/>
            </a:ext>
          </a:extLst>
        </xdr:cNvPr>
        <xdr:cNvSpPr txBox="1"/>
      </xdr:nvSpPr>
      <xdr:spPr>
        <a:xfrm>
          <a:off x="104776" y="876300"/>
          <a:ext cx="6362700"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Where should the business invest, optimize pricing, or reduce inventory exposure to improve overall profitability?</a:t>
          </a:r>
        </a:p>
      </xdr:txBody>
    </xdr:sp>
    <xdr:clientData/>
  </xdr:twoCellAnchor>
  <xdr:oneCellAnchor>
    <xdr:from>
      <xdr:col>3</xdr:col>
      <xdr:colOff>85725</xdr:colOff>
      <xdr:row>9</xdr:row>
      <xdr:rowOff>85723</xdr:rowOff>
    </xdr:from>
    <xdr:ext cx="2695575" cy="342851"/>
    <xdr:sp macro="" textlink="">
      <xdr:nvSpPr>
        <xdr:cNvPr id="4" name="TextBox 3">
          <a:extLst>
            <a:ext uri="{FF2B5EF4-FFF2-40B4-BE49-F238E27FC236}">
              <a16:creationId xmlns:a16="http://schemas.microsoft.com/office/drawing/2014/main" id="{C3BF8035-200F-5D93-D761-C654C56DA156}"/>
            </a:ext>
          </a:extLst>
        </xdr:cNvPr>
        <xdr:cNvSpPr txBox="1"/>
      </xdr:nvSpPr>
      <xdr:spPr>
        <a:xfrm>
          <a:off x="1914525" y="1800223"/>
          <a:ext cx="269557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i="0" u="sng"/>
            <a:t>Invest</a:t>
          </a:r>
          <a:r>
            <a:rPr lang="en-US" sz="1600" b="1" i="0" u="sng" baseline="0"/>
            <a:t> / Scale Opportunities</a:t>
          </a:r>
          <a:endParaRPr lang="en-US" sz="1600" b="1" i="0" u="sng"/>
        </a:p>
      </xdr:txBody>
    </xdr:sp>
    <xdr:clientData/>
  </xdr:oneCellAnchor>
  <xdr:oneCellAnchor>
    <xdr:from>
      <xdr:col>2</xdr:col>
      <xdr:colOff>428625</xdr:colOff>
      <xdr:row>24</xdr:row>
      <xdr:rowOff>104775</xdr:rowOff>
    </xdr:from>
    <xdr:ext cx="3114675" cy="342851"/>
    <xdr:sp macro="" textlink="">
      <xdr:nvSpPr>
        <xdr:cNvPr id="5" name="TextBox 4">
          <a:extLst>
            <a:ext uri="{FF2B5EF4-FFF2-40B4-BE49-F238E27FC236}">
              <a16:creationId xmlns:a16="http://schemas.microsoft.com/office/drawing/2014/main" id="{7698AFA7-A4A5-4360-808B-6CEBC48E172D}"/>
            </a:ext>
          </a:extLst>
        </xdr:cNvPr>
        <xdr:cNvSpPr txBox="1"/>
      </xdr:nvSpPr>
      <xdr:spPr>
        <a:xfrm>
          <a:off x="1647825" y="4676775"/>
          <a:ext cx="311467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Margin Optimization Opportunities</a:t>
          </a:r>
        </a:p>
      </xdr:txBody>
    </xdr:sp>
    <xdr:clientData/>
  </xdr:oneCellAnchor>
  <xdr:oneCellAnchor>
    <xdr:from>
      <xdr:col>3</xdr:col>
      <xdr:colOff>142875</xdr:colOff>
      <xdr:row>34</xdr:row>
      <xdr:rowOff>47625</xdr:rowOff>
    </xdr:from>
    <xdr:ext cx="2133600" cy="342851"/>
    <xdr:sp macro="" textlink="">
      <xdr:nvSpPr>
        <xdr:cNvPr id="6" name="TextBox 5">
          <a:extLst>
            <a:ext uri="{FF2B5EF4-FFF2-40B4-BE49-F238E27FC236}">
              <a16:creationId xmlns:a16="http://schemas.microsoft.com/office/drawing/2014/main" id="{8724EC77-1B98-45D9-996E-3C12AC1BA389}"/>
            </a:ext>
          </a:extLst>
        </xdr:cNvPr>
        <xdr:cNvSpPr txBox="1"/>
      </xdr:nvSpPr>
      <xdr:spPr>
        <a:xfrm>
          <a:off x="1971675" y="6524625"/>
          <a:ext cx="21336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Address Inventory</a:t>
          </a:r>
          <a:r>
            <a:rPr lang="en-US" sz="1600" b="1" u="sng" baseline="0"/>
            <a:t> Risk</a:t>
          </a:r>
          <a:endParaRPr lang="en-US" sz="1600" b="1" u="sng"/>
        </a:p>
      </xdr:txBody>
    </xdr:sp>
    <xdr:clientData/>
  </xdr:oneCellAnchor>
  <xdr:oneCellAnchor>
    <xdr:from>
      <xdr:col>2</xdr:col>
      <xdr:colOff>504825</xdr:colOff>
      <xdr:row>44</xdr:row>
      <xdr:rowOff>19050</xdr:rowOff>
    </xdr:from>
    <xdr:ext cx="2762250" cy="342851"/>
    <xdr:sp macro="" textlink="">
      <xdr:nvSpPr>
        <xdr:cNvPr id="7" name="TextBox 6">
          <a:extLst>
            <a:ext uri="{FF2B5EF4-FFF2-40B4-BE49-F238E27FC236}">
              <a16:creationId xmlns:a16="http://schemas.microsoft.com/office/drawing/2014/main" id="{1373E1EC-A607-4352-9F6E-33D3327CB685}"/>
            </a:ext>
          </a:extLst>
        </xdr:cNvPr>
        <xdr:cNvSpPr txBox="1"/>
      </xdr:nvSpPr>
      <xdr:spPr>
        <a:xfrm>
          <a:off x="1724025" y="8401050"/>
          <a:ext cx="276225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u="sng"/>
            <a:t>Maintain</a:t>
          </a:r>
          <a:r>
            <a:rPr lang="en-US" sz="1600" b="1" u="sng" baseline="0"/>
            <a:t> Balanced Categories</a:t>
          </a:r>
          <a:endParaRPr lang="en-US" sz="1600" b="1" u="sng"/>
        </a:p>
      </xdr:txBody>
    </xdr:sp>
    <xdr:clientData/>
  </xdr:oneCellAnchor>
  <xdr:twoCellAnchor>
    <xdr:from>
      <xdr:col>0</xdr:col>
      <xdr:colOff>333374</xdr:colOff>
      <xdr:row>11</xdr:row>
      <xdr:rowOff>85725</xdr:rowOff>
    </xdr:from>
    <xdr:to>
      <xdr:col>10</xdr:col>
      <xdr:colOff>533399</xdr:colOff>
      <xdr:row>22</xdr:row>
      <xdr:rowOff>123825</xdr:rowOff>
    </xdr:to>
    <xdr:sp macro="" textlink="">
      <xdr:nvSpPr>
        <xdr:cNvPr id="8" name="TextBox 7">
          <a:extLst>
            <a:ext uri="{FF2B5EF4-FFF2-40B4-BE49-F238E27FC236}">
              <a16:creationId xmlns:a16="http://schemas.microsoft.com/office/drawing/2014/main" id="{9ADEF9AB-DCE1-01A7-CFE2-04053BA686FE}"/>
            </a:ext>
          </a:extLst>
        </xdr:cNvPr>
        <xdr:cNvSpPr txBox="1"/>
      </xdr:nvSpPr>
      <xdr:spPr>
        <a:xfrm>
          <a:off x="333374" y="2181225"/>
          <a:ext cx="6296025" cy="213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t>Expand investment in Women’s Leggings.</a:t>
          </a:r>
          <a:br>
            <a:rPr lang="en-US" sz="1400"/>
          </a:br>
          <a:r>
            <a:rPr lang="en-US" sz="1400"/>
            <a:t>This category generates the highest gross profit while maintaining margin near the company average and healthy inventory turnover. Increasing inventory allocation or expanding assortment could drive incremental revenue without sacrificing profitability.</a:t>
          </a:r>
        </a:p>
        <a:p>
          <a:endParaRPr lang="en-US" sz="1400"/>
        </a:p>
        <a:p>
          <a:r>
            <a:rPr lang="en-US" sz="1400"/>
            <a:t>• </a:t>
          </a:r>
          <a:r>
            <a:rPr lang="en-US" sz="1400" b="1"/>
            <a:t>Evaluate scaling Swimwear and Training Apparel.</a:t>
          </a:r>
          <a:br>
            <a:rPr lang="en-US" sz="1400"/>
          </a:br>
          <a:r>
            <a:rPr lang="en-US" sz="1400"/>
            <a:t>These categories operate with some of the highest margins (~51%), indicating strong unit economics. Increasing visibility or assortment may unlock additional profit contribution.</a:t>
          </a:r>
        </a:p>
      </xdr:txBody>
    </xdr:sp>
    <xdr:clientData/>
  </xdr:twoCellAnchor>
  <xdr:twoCellAnchor>
    <xdr:from>
      <xdr:col>0</xdr:col>
      <xdr:colOff>304799</xdr:colOff>
      <xdr:row>26</xdr:row>
      <xdr:rowOff>85726</xdr:rowOff>
    </xdr:from>
    <xdr:to>
      <xdr:col>10</xdr:col>
      <xdr:colOff>523875</xdr:colOff>
      <xdr:row>31</xdr:row>
      <xdr:rowOff>180975</xdr:rowOff>
    </xdr:to>
    <xdr:sp macro="" textlink="">
      <xdr:nvSpPr>
        <xdr:cNvPr id="9" name="TextBox 8">
          <a:extLst>
            <a:ext uri="{FF2B5EF4-FFF2-40B4-BE49-F238E27FC236}">
              <a16:creationId xmlns:a16="http://schemas.microsoft.com/office/drawing/2014/main" id="{C7DF9282-9D55-40C5-A00E-ACDC812809E9}"/>
            </a:ext>
          </a:extLst>
        </xdr:cNvPr>
        <xdr:cNvSpPr txBox="1"/>
      </xdr:nvSpPr>
      <xdr:spPr>
        <a:xfrm>
          <a:off x="304799" y="5038726"/>
          <a:ext cx="6315076" cy="1047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t>Optimize margin performance in Accessories.</a:t>
          </a:r>
          <a:br>
            <a:rPr lang="en-US" sz="1400"/>
          </a:br>
          <a:r>
            <a:rPr lang="en-US" sz="1400"/>
            <a:t>Although Accessories generate the second-highest gross profit due to revenue scale, margin performance trails the company average. Pricing adjustments, cost optimization, or promotional discipline could significantly improve profitability.</a:t>
          </a:r>
        </a:p>
      </xdr:txBody>
    </xdr:sp>
    <xdr:clientData/>
  </xdr:twoCellAnchor>
  <xdr:twoCellAnchor>
    <xdr:from>
      <xdr:col>0</xdr:col>
      <xdr:colOff>285750</xdr:colOff>
      <xdr:row>36</xdr:row>
      <xdr:rowOff>28574</xdr:rowOff>
    </xdr:from>
    <xdr:to>
      <xdr:col>10</xdr:col>
      <xdr:colOff>495300</xdr:colOff>
      <xdr:row>41</xdr:row>
      <xdr:rowOff>133349</xdr:rowOff>
    </xdr:to>
    <xdr:sp macro="" textlink="">
      <xdr:nvSpPr>
        <xdr:cNvPr id="10" name="TextBox 9">
          <a:extLst>
            <a:ext uri="{FF2B5EF4-FFF2-40B4-BE49-F238E27FC236}">
              <a16:creationId xmlns:a16="http://schemas.microsoft.com/office/drawing/2014/main" id="{E10BDE1B-CF79-406D-99D5-AA089C3178AA}"/>
            </a:ext>
          </a:extLst>
        </xdr:cNvPr>
        <xdr:cNvSpPr txBox="1"/>
      </xdr:nvSpPr>
      <xdr:spPr>
        <a:xfrm>
          <a:off x="285750" y="6886574"/>
          <a:ext cx="6305550" cy="1057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t>Reduce inventory exposure in Kids Apparel.</a:t>
          </a:r>
          <a:br>
            <a:rPr lang="en-US" sz="1400"/>
          </a:br>
          <a:r>
            <a:rPr lang="en-US" sz="1400"/>
            <a:t>This category shows below-average sell-through and the highest weeks of supply, indicating slower demand. Future purchase quantities may need adjustment, and targeted promotions could help rebalance inventory levels.</a:t>
          </a:r>
        </a:p>
      </xdr:txBody>
    </xdr:sp>
    <xdr:clientData/>
  </xdr:twoCellAnchor>
  <xdr:twoCellAnchor>
    <xdr:from>
      <xdr:col>0</xdr:col>
      <xdr:colOff>257175</xdr:colOff>
      <xdr:row>46</xdr:row>
      <xdr:rowOff>9525</xdr:rowOff>
    </xdr:from>
    <xdr:to>
      <xdr:col>10</xdr:col>
      <xdr:colOff>485775</xdr:colOff>
      <xdr:row>51</xdr:row>
      <xdr:rowOff>104775</xdr:rowOff>
    </xdr:to>
    <xdr:sp macro="" textlink="">
      <xdr:nvSpPr>
        <xdr:cNvPr id="11" name="TextBox 10">
          <a:extLst>
            <a:ext uri="{FF2B5EF4-FFF2-40B4-BE49-F238E27FC236}">
              <a16:creationId xmlns:a16="http://schemas.microsoft.com/office/drawing/2014/main" id="{614074CB-265E-4BC5-BE63-D30E7ADC9511}"/>
            </a:ext>
          </a:extLst>
        </xdr:cNvPr>
        <xdr:cNvSpPr txBox="1"/>
      </xdr:nvSpPr>
      <xdr:spPr>
        <a:xfrm>
          <a:off x="257175" y="8772525"/>
          <a:ext cx="6324600" cy="1047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t>Maintain current strategy for steady categories such as Socks &amp; Underwear and Men’s Tees.</a:t>
          </a:r>
          <a:br>
            <a:rPr lang="en-US" sz="1400"/>
          </a:br>
          <a:r>
            <a:rPr lang="en-US" sz="1400"/>
            <a:t>These categories demonstrate balanced performance across revenue, margin, and inventory turnover.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nor Cerf" refreshedDate="46083.647111921295" createdVersion="8" refreshedVersion="8" minRefreshableVersion="3" recordCount="200" xr:uid="{59CAB7CA-BD5B-40DA-AE2C-2B8786623EF1}">
  <cacheSource type="worksheet">
    <worksheetSource name="retail_dataset_additional_200_rows"/>
  </cacheSource>
  <cacheFields count="22">
    <cacheField name="SKU" numFmtId="0">
      <sharedItems/>
    </cacheField>
    <cacheField name="Category" numFmtId="0">
      <sharedItems count="16">
        <s v="Training Apparel"/>
        <s v="Socks &amp; Underwear"/>
        <s v="Basketball Shoes"/>
        <s v="Kids Apparel"/>
        <s v="Women’s Leggings"/>
        <s v="Gloves"/>
        <s v="Hoodies"/>
        <s v="Men’s Tees"/>
        <s v="Compression Gear"/>
        <s v="Running Shoes"/>
        <s v="Bags &amp; Backpacks"/>
        <s v="Sports Bras"/>
        <s v="Swimwear"/>
        <s v="Accessories"/>
        <s v="Outerwear"/>
        <s v="Hats &amp; Headwear"/>
      </sharedItems>
    </cacheField>
    <cacheField name="Subcategory" numFmtId="0">
      <sharedItems/>
    </cacheField>
    <cacheField name="Season" numFmtId="14">
      <sharedItems containsSemiMixedTypes="0" containsNonDate="0" containsDate="1" containsString="0" minDate="2026-01-01T00:00:00" maxDate="2026-12-02T00:00:00"/>
    </cacheField>
    <cacheField name="LaunchYear" numFmtId="0">
      <sharedItems containsSemiMixedTypes="0" containsString="0" containsNumber="1" containsInteger="1" minValue="2023" maxValue="2025"/>
    </cacheField>
    <cacheField name="LifecycleStage" numFmtId="0">
      <sharedItems/>
    </cacheField>
    <cacheField name="OriginalPrice" numFmtId="164">
      <sharedItems containsSemiMixedTypes="0" containsString="0" containsNumber="1" containsInteger="1" minValue="25" maxValue="150"/>
    </cacheField>
    <cacheField name="CurrentPrice" numFmtId="164">
      <sharedItems containsSemiMixedTypes="0" containsString="0" containsNumber="1" containsInteger="1" minValue="20" maxValue="150"/>
    </cacheField>
    <cacheField name="MarkdownPct" numFmtId="10">
      <sharedItems containsSemiMixedTypes="0" containsString="0" containsNumber="1" minValue="0" maxValue="0.2"/>
    </cacheField>
    <cacheField name="PromoFlag" numFmtId="0">
      <sharedItems count="2">
        <s v="Yes"/>
        <s v="No"/>
      </sharedItems>
    </cacheField>
    <cacheField name="PromoType" numFmtId="0">
      <sharedItems/>
    </cacheField>
    <cacheField name="PriceChangeDate" numFmtId="14">
      <sharedItems containsSemiMixedTypes="0" containsNonDate="0" containsDate="1" containsString="0" minDate="2026-02-01T00:00:00" maxDate="2026-02-16T00:00:00"/>
    </cacheField>
    <cacheField name="UnitsSold_Week" numFmtId="0">
      <sharedItems containsSemiMixedTypes="0" containsString="0" containsNumber="1" containsInteger="1" minValue="81" maxValue="797"/>
    </cacheField>
    <cacheField name="Revenue_Week" numFmtId="164">
      <sharedItems containsSemiMixedTypes="0" containsString="0" containsNumber="1" containsInteger="1" minValue="2790" maxValue="105700"/>
    </cacheField>
    <cacheField name="Cost" numFmtId="164">
      <sharedItems containsSemiMixedTypes="0" containsString="0" containsNumber="1" minValue="8.84" maxValue="88.7"/>
    </cacheField>
    <cacheField name="MarginPct" numFmtId="10">
      <sharedItems containsSemiMixedTypes="0" containsString="0" containsNumber="1" minValue="0.26079999999999998" maxValue="0.64929999999999999"/>
    </cacheField>
    <cacheField name="InventoryOnHand" numFmtId="0">
      <sharedItems containsSemiMixedTypes="0" containsString="0" containsNumber="1" containsInteger="1" minValue="300" maxValue="1999"/>
    </cacheField>
    <cacheField name="WeeksOfSupply" numFmtId="0">
      <sharedItems containsSemiMixedTypes="0" containsString="0" containsNumber="1" minValue="0.43" maxValue="21.28"/>
    </cacheField>
    <cacheField name="SellThroughPct" numFmtId="10">
      <sharedItems containsSemiMixedTypes="0" containsString="0" containsNumber="1" minValue="4.4900000000000002E-2" maxValue="0.6996"/>
    </cacheField>
    <cacheField name="Channel" numFmtId="0">
      <sharedItems/>
    </cacheField>
    <cacheField name="Region" numFmtId="0">
      <sharedItems/>
    </cacheField>
    <cacheField name="GrossProfit_Week" numFmtId="164">
      <sharedItems containsSemiMixedTypes="0" containsString="0" containsNumber="1" minValue="1344.068" maxValue="63990.78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64CRRT"/>
    <x v="0"/>
    <s v="Joggers"/>
    <d v="2026-05-01T00:00:00"/>
    <n v="2023"/>
    <s v="Clearance"/>
    <n v="120"/>
    <n v="96"/>
    <n v="0.2"/>
    <x v="0"/>
    <s v="Promo"/>
    <d v="2026-02-06T00:00:00"/>
    <n v="490"/>
    <n v="47040"/>
    <n v="52"/>
    <n v="0.45829999999999999"/>
    <n v="1122"/>
    <n v="2.29"/>
    <n v="0.30399999999999999"/>
    <s v="Outlet"/>
    <s v="US East"/>
    <n v="21558.432000000001"/>
  </r>
  <r>
    <s v="6A32NA"/>
    <x v="1"/>
    <s v="Socks"/>
    <d v="2026-12-01T00:00:00"/>
    <n v="2025"/>
    <s v="Core"/>
    <n v="55"/>
    <n v="55"/>
    <n v="0"/>
    <x v="1"/>
    <s v="None"/>
    <d v="2026-02-13T00:00:00"/>
    <n v="317"/>
    <n v="17435"/>
    <n v="19.62"/>
    <n v="0.64329999999999998"/>
    <n v="346"/>
    <n v="1.0900000000000001"/>
    <n v="0.47810000000000002"/>
    <s v="Outlet"/>
    <s v="US Midwest"/>
    <n v="11215.9355"/>
  </r>
  <r>
    <s v="6QRAL8"/>
    <x v="2"/>
    <s v="Mid"/>
    <d v="2026-12-01T00:00:00"/>
    <n v="2024"/>
    <s v="Clearance"/>
    <n v="55"/>
    <n v="44"/>
    <n v="0.2"/>
    <x v="0"/>
    <s v="Promo"/>
    <d v="2026-02-15T00:00:00"/>
    <n v="132"/>
    <n v="5808"/>
    <n v="19.670000000000002"/>
    <n v="0.55300000000000005"/>
    <n v="336"/>
    <n v="2.5499999999999998"/>
    <n v="0.28210000000000002"/>
    <s v="Online"/>
    <s v="US South"/>
    <n v="3211.8240000000001"/>
  </r>
  <r>
    <s v="K4FMRO"/>
    <x v="3"/>
    <s v="Hoodies"/>
    <d v="2026-04-01T00:00:00"/>
    <n v="2025"/>
    <s v="Clearance"/>
    <n v="120"/>
    <n v="96"/>
    <n v="0.2"/>
    <x v="0"/>
    <s v="Promo"/>
    <d v="2026-02-07T00:00:00"/>
    <n v="126"/>
    <n v="12096"/>
    <n v="44.3"/>
    <n v="0.53849999999999998"/>
    <n v="1980"/>
    <n v="15.71"/>
    <n v="5.9799999999999999E-2"/>
    <s v="Online"/>
    <s v="US East"/>
    <n v="6513.6959999999999"/>
  </r>
  <r>
    <s v="L4DDMU"/>
    <x v="1"/>
    <s v="Socks"/>
    <d v="2026-12-01T00:00:00"/>
    <n v="2024"/>
    <s v="Clearance"/>
    <n v="40"/>
    <n v="32"/>
    <n v="0.2"/>
    <x v="0"/>
    <s v="Markdown"/>
    <d v="2026-02-14T00:00:00"/>
    <n v="302"/>
    <n v="9664"/>
    <n v="23.21"/>
    <n v="0.2747"/>
    <n v="1699"/>
    <n v="5.63"/>
    <n v="0.15090000000000001"/>
    <s v="Outlet"/>
    <s v="US Midwest"/>
    <n v="2654.7008000000001"/>
  </r>
  <r>
    <s v="176I8F"/>
    <x v="4"/>
    <s v="Patterned"/>
    <d v="2026-05-01T00:00:00"/>
    <n v="2023"/>
    <s v="Clearance"/>
    <n v="65"/>
    <n v="52"/>
    <n v="0.2"/>
    <x v="0"/>
    <s v="Promo"/>
    <d v="2026-02-13T00:00:00"/>
    <n v="417"/>
    <n v="21684"/>
    <n v="25"/>
    <n v="0.51919999999999999"/>
    <n v="1798"/>
    <n v="4.3099999999999996"/>
    <n v="0.1883"/>
    <s v="Online"/>
    <s v="US East"/>
    <n v="11258.3328"/>
  </r>
  <r>
    <s v="LU385E"/>
    <x v="5"/>
    <s v="Training Gloves"/>
    <d v="2026-09-01T00:00:00"/>
    <n v="2024"/>
    <s v="Clearance"/>
    <n v="40"/>
    <n v="32"/>
    <n v="0.2"/>
    <x v="0"/>
    <s v="Promo"/>
    <d v="2026-02-08T00:00:00"/>
    <n v="187"/>
    <n v="5984"/>
    <n v="16.12"/>
    <n v="0.49619999999999997"/>
    <n v="1269"/>
    <n v="6.79"/>
    <n v="0.12839999999999999"/>
    <s v="Retail"/>
    <s v="US South"/>
    <n v="2969.2608"/>
  </r>
  <r>
    <s v="3F9M7E"/>
    <x v="6"/>
    <s v="Fleece"/>
    <d v="2026-04-01T00:00:00"/>
    <n v="2025"/>
    <s v="Core"/>
    <n v="75"/>
    <n v="75"/>
    <n v="0"/>
    <x v="1"/>
    <s v="None"/>
    <d v="2026-02-09T00:00:00"/>
    <n v="777"/>
    <n v="58275"/>
    <n v="39.61"/>
    <n v="0.47189999999999999"/>
    <n v="1829"/>
    <n v="2.35"/>
    <n v="0.29820000000000002"/>
    <s v="Online"/>
    <s v="US South"/>
    <n v="27499.9725"/>
  </r>
  <r>
    <s v="FBIKW4"/>
    <x v="7"/>
    <s v="Short Sleeve"/>
    <d v="2026-12-01T00:00:00"/>
    <n v="2025"/>
    <s v="Core"/>
    <n v="50"/>
    <n v="50"/>
    <n v="0"/>
    <x v="1"/>
    <s v="None"/>
    <d v="2026-02-03T00:00:00"/>
    <n v="256"/>
    <n v="12800"/>
    <n v="28.01"/>
    <n v="0.43980000000000002"/>
    <n v="1519"/>
    <n v="5.93"/>
    <n v="0.14419999999999999"/>
    <s v="Online"/>
    <s v="US South"/>
    <n v="5629.4400000000005"/>
  </r>
  <r>
    <s v="JN6V4F"/>
    <x v="8"/>
    <s v="Bottoms"/>
    <d v="2026-08-01T00:00:00"/>
    <n v="2024"/>
    <s v="Clearance"/>
    <n v="25"/>
    <n v="20"/>
    <n v="0.2"/>
    <x v="0"/>
    <s v="Markdown"/>
    <d v="2026-02-09T00:00:00"/>
    <n v="658"/>
    <n v="13160"/>
    <n v="13.38"/>
    <n v="0.33100000000000002"/>
    <n v="348"/>
    <n v="0.53"/>
    <n v="0.65410000000000001"/>
    <s v="Retail"/>
    <s v="US East"/>
    <n v="4355.96"/>
  </r>
  <r>
    <s v="JREI9K"/>
    <x v="9"/>
    <s v="Stability"/>
    <d v="2026-05-01T00:00:00"/>
    <n v="2025"/>
    <s v="Core"/>
    <n v="55"/>
    <n v="55"/>
    <n v="0"/>
    <x v="1"/>
    <s v="None"/>
    <d v="2026-02-12T00:00:00"/>
    <n v="642"/>
    <n v="35310"/>
    <n v="30.37"/>
    <n v="0.44779999999999998"/>
    <n v="1699"/>
    <n v="2.65"/>
    <n v="0.2742"/>
    <s v="Online"/>
    <s v="US East"/>
    <n v="15811.817999999999"/>
  </r>
  <r>
    <s v="DYCIQR"/>
    <x v="10"/>
    <s v="Sling Bags"/>
    <d v="2026-09-01T00:00:00"/>
    <n v="2025"/>
    <s v="Clearance"/>
    <n v="35"/>
    <n v="28"/>
    <n v="0.2"/>
    <x v="0"/>
    <s v="Promo"/>
    <d v="2026-02-03T00:00:00"/>
    <n v="778"/>
    <n v="21784"/>
    <n v="15.66"/>
    <n v="0.44069999999999998"/>
    <n v="1389"/>
    <n v="1.79"/>
    <n v="0.35899999999999999"/>
    <s v="Outlet"/>
    <s v="US West"/>
    <n v="9600.2088000000003"/>
  </r>
  <r>
    <s v="835DB4"/>
    <x v="11"/>
    <s v="High Support"/>
    <d v="2026-09-01T00:00:00"/>
    <n v="2024"/>
    <s v="Clearance"/>
    <n v="150"/>
    <n v="120"/>
    <n v="0.2"/>
    <x v="0"/>
    <s v="Promo"/>
    <d v="2026-02-03T00:00:00"/>
    <n v="203"/>
    <n v="24360"/>
    <n v="53.95"/>
    <n v="0.5504"/>
    <n v="469"/>
    <n v="2.31"/>
    <n v="0.30209999999999998"/>
    <s v="Online"/>
    <s v="US West"/>
    <n v="13407.744000000001"/>
  </r>
  <r>
    <s v="WWYWCP"/>
    <x v="8"/>
    <s v="Tops"/>
    <d v="2026-06-01T00:00:00"/>
    <n v="2025"/>
    <s v="Clearance"/>
    <n v="40"/>
    <n v="32"/>
    <n v="0.2"/>
    <x v="0"/>
    <s v="Promo"/>
    <d v="2026-02-13T00:00:00"/>
    <n v="485"/>
    <n v="15520"/>
    <n v="23.13"/>
    <n v="0.2772"/>
    <n v="1918"/>
    <n v="3.95"/>
    <n v="0.20180000000000001"/>
    <s v="Retail"/>
    <s v="US West"/>
    <n v="4302.1440000000002"/>
  </r>
  <r>
    <s v="QYUVR8"/>
    <x v="11"/>
    <s v="Medium Support"/>
    <d v="2026-04-01T00:00:00"/>
    <n v="2024"/>
    <s v="Clearance"/>
    <n v="80"/>
    <n v="64"/>
    <n v="0.2"/>
    <x v="0"/>
    <s v="Promo"/>
    <d v="2026-02-01T00:00:00"/>
    <n v="319"/>
    <n v="20416"/>
    <n v="41.95"/>
    <n v="0.34449999999999997"/>
    <n v="1461"/>
    <n v="4.58"/>
    <n v="0.1792"/>
    <s v="Outlet"/>
    <s v="US Midwest"/>
    <n v="7033.3119999999999"/>
  </r>
  <r>
    <s v="7BJI81"/>
    <x v="11"/>
    <s v="Medium Support"/>
    <d v="2026-01-01T00:00:00"/>
    <n v="2025"/>
    <s v="Core"/>
    <n v="45"/>
    <n v="45"/>
    <n v="0"/>
    <x v="1"/>
    <s v="None"/>
    <d v="2026-02-05T00:00:00"/>
    <n v="181"/>
    <n v="8145"/>
    <n v="16.11"/>
    <n v="0.64200000000000002"/>
    <n v="637"/>
    <n v="3.52"/>
    <n v="0.2213"/>
    <s v="Retail"/>
    <s v="US Midwest"/>
    <n v="5229.09"/>
  </r>
  <r>
    <s v="U2QK4O"/>
    <x v="4"/>
    <s v="Patterned"/>
    <d v="2026-12-01T00:00:00"/>
    <n v="2025"/>
    <s v="Core"/>
    <n v="80"/>
    <n v="80"/>
    <n v="0"/>
    <x v="1"/>
    <s v="None"/>
    <d v="2026-02-01T00:00:00"/>
    <n v="604"/>
    <n v="48320"/>
    <n v="40.72"/>
    <n v="0.49099999999999999"/>
    <n v="1431"/>
    <n v="2.37"/>
    <n v="0.29680000000000001"/>
    <s v="Online"/>
    <s v="US West"/>
    <n v="23725.119999999999"/>
  </r>
  <r>
    <s v="R0UGJY"/>
    <x v="11"/>
    <s v="High Support"/>
    <d v="2026-09-01T00:00:00"/>
    <n v="2025"/>
    <s v="Clearance"/>
    <n v="55"/>
    <n v="44"/>
    <n v="0.2"/>
    <x v="0"/>
    <s v="Promo"/>
    <d v="2026-02-09T00:00:00"/>
    <n v="439"/>
    <n v="19316"/>
    <n v="21.05"/>
    <n v="0.52159999999999995"/>
    <n v="515"/>
    <n v="1.17"/>
    <n v="0.4602"/>
    <s v="Online"/>
    <s v="US South"/>
    <n v="10075.2256"/>
  </r>
  <r>
    <s v="XJ66JS"/>
    <x v="4"/>
    <s v="Patterned"/>
    <d v="2026-05-01T00:00:00"/>
    <n v="2023"/>
    <s v="Core"/>
    <n v="60"/>
    <n v="60"/>
    <n v="0"/>
    <x v="1"/>
    <s v="None"/>
    <d v="2026-02-15T00:00:00"/>
    <n v="413"/>
    <n v="24780"/>
    <n v="23.87"/>
    <n v="0.60219999999999996"/>
    <n v="755"/>
    <n v="1.83"/>
    <n v="0.35360000000000003"/>
    <s v="Outlet"/>
    <s v="US Midwest"/>
    <n v="14922.516"/>
  </r>
  <r>
    <s v="XEOSEW"/>
    <x v="2"/>
    <s v="High"/>
    <d v="2026-06-01T00:00:00"/>
    <n v="2024"/>
    <s v="Clearance"/>
    <n v="140"/>
    <n v="112"/>
    <n v="0.2"/>
    <x v="0"/>
    <s v="Promo"/>
    <d v="2026-02-03T00:00:00"/>
    <n v="166"/>
    <n v="18592"/>
    <n v="58.32"/>
    <n v="0.4793"/>
    <n v="563"/>
    <n v="3.39"/>
    <n v="0.22770000000000001"/>
    <s v="Outlet"/>
    <s v="US West"/>
    <n v="8911.1455999999998"/>
  </r>
  <r>
    <s v="U3E9TN"/>
    <x v="5"/>
    <s v="Training Gloves"/>
    <d v="2026-03-01T00:00:00"/>
    <n v="2025"/>
    <s v="Core"/>
    <n v="150"/>
    <n v="150"/>
    <n v="0"/>
    <x v="1"/>
    <s v="None"/>
    <d v="2026-02-15T00:00:00"/>
    <n v="147"/>
    <n v="22050"/>
    <n v="83.35"/>
    <n v="0.44429999999999997"/>
    <n v="1246"/>
    <n v="8.48"/>
    <n v="0.1055"/>
    <s v="Retail"/>
    <s v="US South"/>
    <n v="9796.8149999999987"/>
  </r>
  <r>
    <s v="GT8XZI"/>
    <x v="5"/>
    <s v="Lifting Gloves"/>
    <d v="2026-03-01T00:00:00"/>
    <n v="2023"/>
    <s v="Clearance"/>
    <n v="45"/>
    <n v="36"/>
    <n v="0.2"/>
    <x v="0"/>
    <s v="Promo"/>
    <d v="2026-02-03T00:00:00"/>
    <n v="244"/>
    <n v="8784"/>
    <n v="23.06"/>
    <n v="0.3594"/>
    <n v="566"/>
    <n v="2.3199999999999998"/>
    <n v="0.30120000000000002"/>
    <s v="Online"/>
    <s v="US South"/>
    <n v="3156.9695999999999"/>
  </r>
  <r>
    <s v="FHB9EK"/>
    <x v="9"/>
    <s v="Neutral"/>
    <d v="2026-03-01T00:00:00"/>
    <n v="2024"/>
    <s v="Core"/>
    <n v="50"/>
    <n v="50"/>
    <n v="0"/>
    <x v="1"/>
    <s v="None"/>
    <d v="2026-02-11T00:00:00"/>
    <n v="252"/>
    <n v="12600"/>
    <n v="19.5"/>
    <n v="0.61"/>
    <n v="1094"/>
    <n v="4.34"/>
    <n v="0.18720000000000001"/>
    <s v="Outlet"/>
    <s v="US East"/>
    <n v="7686"/>
  </r>
  <r>
    <s v="9H9VUQ"/>
    <x v="5"/>
    <s v="Training Gloves"/>
    <d v="2026-03-01T00:00:00"/>
    <n v="2023"/>
    <s v="Core"/>
    <n v="30"/>
    <n v="30"/>
    <n v="0"/>
    <x v="1"/>
    <s v="None"/>
    <d v="2026-02-12T00:00:00"/>
    <n v="697"/>
    <n v="20910"/>
    <n v="10.95"/>
    <n v="0.63500000000000001"/>
    <n v="380"/>
    <n v="0.55000000000000004"/>
    <n v="0.6472"/>
    <s v="Retail"/>
    <s v="US South"/>
    <n v="13277.85"/>
  </r>
  <r>
    <s v="765XX1"/>
    <x v="6"/>
    <s v="Thermal"/>
    <d v="2026-01-01T00:00:00"/>
    <n v="2025"/>
    <s v="Clearance"/>
    <n v="55"/>
    <n v="44"/>
    <n v="0.2"/>
    <x v="0"/>
    <s v="Promo"/>
    <d v="2026-02-10T00:00:00"/>
    <n v="110"/>
    <n v="4840"/>
    <n v="31.78"/>
    <n v="0.2777"/>
    <n v="1182"/>
    <n v="10.75"/>
    <n v="8.5099999999999995E-2"/>
    <s v="Retail"/>
    <s v="US Midwest"/>
    <n v="1344.068"/>
  </r>
  <r>
    <s v="0IYW0D"/>
    <x v="11"/>
    <s v="Low Support"/>
    <d v="2026-09-01T00:00:00"/>
    <n v="2024"/>
    <s v="Clearance"/>
    <n v="45"/>
    <n v="36"/>
    <n v="0.2"/>
    <x v="0"/>
    <s v="Markdown"/>
    <d v="2026-02-11T00:00:00"/>
    <n v="100"/>
    <n v="3600"/>
    <n v="19.350000000000001"/>
    <n v="0.46250000000000002"/>
    <n v="1220"/>
    <n v="12.2"/>
    <n v="7.5800000000000006E-2"/>
    <s v="Online"/>
    <s v="US South"/>
    <n v="1665"/>
  </r>
  <r>
    <s v="A2MW8Q"/>
    <x v="9"/>
    <s v="Cushion"/>
    <d v="2026-09-01T00:00:00"/>
    <n v="2023"/>
    <s v="Clearance"/>
    <n v="65"/>
    <n v="52"/>
    <n v="0.2"/>
    <x v="0"/>
    <s v="Promo"/>
    <d v="2026-02-04T00:00:00"/>
    <n v="176"/>
    <n v="9152"/>
    <n v="23.36"/>
    <n v="0.55079999999999996"/>
    <n v="721"/>
    <n v="4.0999999999999996"/>
    <n v="0.19620000000000001"/>
    <s v="Outlet"/>
    <s v="US East"/>
    <n v="5040.9215999999997"/>
  </r>
  <r>
    <s v="RIA81H"/>
    <x v="2"/>
    <s v="Mid"/>
    <d v="2026-09-01T00:00:00"/>
    <n v="2024"/>
    <s v="Core"/>
    <n v="70"/>
    <n v="70"/>
    <n v="0"/>
    <x v="1"/>
    <s v="None"/>
    <d v="2026-02-12T00:00:00"/>
    <n v="258"/>
    <n v="18060"/>
    <n v="28.26"/>
    <n v="0.59630000000000005"/>
    <n v="637"/>
    <n v="2.4700000000000002"/>
    <n v="0.2883"/>
    <s v="Outlet"/>
    <s v="US Midwest"/>
    <n v="10769.178000000002"/>
  </r>
  <r>
    <s v="EJ77KY"/>
    <x v="5"/>
    <s v="Lifting Gloves"/>
    <d v="2026-06-01T00:00:00"/>
    <n v="2025"/>
    <s v="Clearance"/>
    <n v="50"/>
    <n v="40"/>
    <n v="0.2"/>
    <x v="0"/>
    <s v="Promo"/>
    <d v="2026-02-11T00:00:00"/>
    <n v="710"/>
    <n v="28400"/>
    <n v="25.69"/>
    <n v="0.35770000000000002"/>
    <n v="386"/>
    <n v="0.54"/>
    <n v="0.64780000000000004"/>
    <s v="Outlet"/>
    <s v="US West"/>
    <n v="10158.68"/>
  </r>
  <r>
    <s v="8JGCPP"/>
    <x v="4"/>
    <s v="High-Rise"/>
    <d v="2026-03-01T00:00:00"/>
    <n v="2025"/>
    <s v="Clearance"/>
    <n v="55"/>
    <n v="44"/>
    <n v="0.2"/>
    <x v="0"/>
    <s v="Markdown"/>
    <d v="2026-02-01T00:00:00"/>
    <n v="339"/>
    <n v="14916"/>
    <n v="28.58"/>
    <n v="0.35049999999999998"/>
    <n v="554"/>
    <n v="1.63"/>
    <n v="0.37959999999999999"/>
    <s v="Retail"/>
    <s v="US Midwest"/>
    <n v="5228.058"/>
  </r>
  <r>
    <s v="2XHCX0"/>
    <x v="12"/>
    <s v="Women’s"/>
    <d v="2026-12-01T00:00:00"/>
    <n v="2023"/>
    <s v="Core"/>
    <n v="150"/>
    <n v="150"/>
    <n v="0"/>
    <x v="1"/>
    <s v="None"/>
    <d v="2026-02-09T00:00:00"/>
    <n v="377"/>
    <n v="56550"/>
    <n v="54.33"/>
    <n v="0.63780000000000003"/>
    <n v="1417"/>
    <n v="3.76"/>
    <n v="0.21010000000000001"/>
    <s v="Online"/>
    <s v="US West"/>
    <n v="36067.590000000004"/>
  </r>
  <r>
    <s v="T8X6O1"/>
    <x v="1"/>
    <s v="Socks"/>
    <d v="2026-03-01T00:00:00"/>
    <n v="2023"/>
    <s v="Core"/>
    <n v="50"/>
    <n v="50"/>
    <n v="0"/>
    <x v="1"/>
    <s v="None"/>
    <d v="2026-02-14T00:00:00"/>
    <n v="308"/>
    <n v="15400"/>
    <n v="19.72"/>
    <n v="0.60560000000000003"/>
    <n v="983"/>
    <n v="3.19"/>
    <n v="0.23860000000000001"/>
    <s v="Online"/>
    <s v="US East"/>
    <n v="9326.24"/>
  </r>
  <r>
    <s v="MEEB0A"/>
    <x v="3"/>
    <s v="Bottoms"/>
    <d v="2026-04-01T00:00:00"/>
    <n v="2025"/>
    <s v="Clearance"/>
    <n v="70"/>
    <n v="56"/>
    <n v="0.2"/>
    <x v="0"/>
    <s v="Markdown"/>
    <d v="2026-02-14T00:00:00"/>
    <n v="189"/>
    <n v="10584"/>
    <n v="32.35"/>
    <n v="0.42230000000000001"/>
    <n v="1755"/>
    <n v="9.2899999999999991"/>
    <n v="9.7199999999999995E-2"/>
    <s v="Online"/>
    <s v="US South"/>
    <n v="4469.6232"/>
  </r>
  <r>
    <s v="NS40K9"/>
    <x v="9"/>
    <s v="Trail"/>
    <d v="2026-04-01T00:00:00"/>
    <n v="2023"/>
    <s v="Core"/>
    <n v="55"/>
    <n v="55"/>
    <n v="0"/>
    <x v="1"/>
    <s v="None"/>
    <d v="2026-02-04T00:00:00"/>
    <n v="311"/>
    <n v="17105"/>
    <n v="27.65"/>
    <n v="0.49730000000000002"/>
    <n v="1539"/>
    <n v="4.95"/>
    <n v="0.1681"/>
    <s v="Outlet"/>
    <s v="US East"/>
    <n v="8506.3165000000008"/>
  </r>
  <r>
    <s v="W3N510"/>
    <x v="4"/>
    <s v="Compression"/>
    <d v="2026-06-01T00:00:00"/>
    <n v="2024"/>
    <s v="Core"/>
    <n v="50"/>
    <n v="50"/>
    <n v="0"/>
    <x v="1"/>
    <s v="None"/>
    <d v="2026-02-13T00:00:00"/>
    <n v="150"/>
    <n v="7500"/>
    <n v="22.21"/>
    <n v="0.55579999999999996"/>
    <n v="862"/>
    <n v="5.75"/>
    <n v="0.1482"/>
    <s v="Retail"/>
    <s v="US Midwest"/>
    <n v="4168.5"/>
  </r>
  <r>
    <s v="W2HFS5"/>
    <x v="6"/>
    <s v="Zip-Up"/>
    <d v="2026-09-01T00:00:00"/>
    <n v="2025"/>
    <s v="Clearance"/>
    <n v="30"/>
    <n v="24"/>
    <n v="0.2"/>
    <x v="0"/>
    <s v="Markdown"/>
    <d v="2026-02-04T00:00:00"/>
    <n v="305"/>
    <n v="7320"/>
    <n v="16.45"/>
    <n v="0.31459999999999999"/>
    <n v="1082"/>
    <n v="3.55"/>
    <n v="0.21990000000000001"/>
    <s v="Outlet"/>
    <s v="US Midwest"/>
    <n v="2302.8719999999998"/>
  </r>
  <r>
    <s v="1UBELK"/>
    <x v="9"/>
    <s v="Trail"/>
    <d v="2026-04-01T00:00:00"/>
    <n v="2025"/>
    <s v="Clearance"/>
    <n v="50"/>
    <n v="40"/>
    <n v="0.2"/>
    <x v="0"/>
    <s v="Promo"/>
    <d v="2026-02-14T00:00:00"/>
    <n v="376"/>
    <n v="15040"/>
    <n v="20.88"/>
    <n v="0.47799999999999998"/>
    <n v="1100"/>
    <n v="2.93"/>
    <n v="0.25469999999999998"/>
    <s v="Retail"/>
    <s v="US East"/>
    <n v="7189.12"/>
  </r>
  <r>
    <s v="I0KZHO"/>
    <x v="3"/>
    <s v="Tops"/>
    <d v="2026-08-01T00:00:00"/>
    <n v="2025"/>
    <s v="Core"/>
    <n v="50"/>
    <n v="50"/>
    <n v="0"/>
    <x v="1"/>
    <s v="None"/>
    <d v="2026-02-02T00:00:00"/>
    <n v="250"/>
    <n v="12500"/>
    <n v="21.1"/>
    <n v="0.57799999999999996"/>
    <n v="1102"/>
    <n v="4.41"/>
    <n v="0.18490000000000001"/>
    <s v="Outlet"/>
    <s v="US West"/>
    <n v="7224.9999999999991"/>
  </r>
  <r>
    <s v="ZTJZXD"/>
    <x v="0"/>
    <s v="Tanks"/>
    <d v="2026-05-01T00:00:00"/>
    <n v="2024"/>
    <s v="Core"/>
    <n v="120"/>
    <n v="120"/>
    <n v="0"/>
    <x v="1"/>
    <s v="None"/>
    <d v="2026-02-12T00:00:00"/>
    <n v="668"/>
    <n v="80160"/>
    <n v="61.03"/>
    <n v="0.4914"/>
    <n v="460"/>
    <n v="0.69"/>
    <n v="0.59219999999999995"/>
    <s v="Retail"/>
    <s v="US South"/>
    <n v="39390.624000000003"/>
  </r>
  <r>
    <s v="W6WHVC"/>
    <x v="5"/>
    <s v="Training Gloves"/>
    <d v="2026-03-01T00:00:00"/>
    <n v="2023"/>
    <s v="Core"/>
    <n v="40"/>
    <n v="40"/>
    <n v="0"/>
    <x v="1"/>
    <s v="None"/>
    <d v="2026-02-02T00:00:00"/>
    <n v="231"/>
    <n v="9240"/>
    <n v="14.29"/>
    <n v="0.64280000000000004"/>
    <n v="1934"/>
    <n v="8.3699999999999992"/>
    <n v="0.1067"/>
    <s v="Retail"/>
    <s v="US East"/>
    <n v="5939.4720000000007"/>
  </r>
  <r>
    <s v="Z51H7G"/>
    <x v="11"/>
    <s v="High Support"/>
    <d v="2026-06-01T00:00:00"/>
    <n v="2025"/>
    <s v="Core"/>
    <n v="40"/>
    <n v="40"/>
    <n v="0"/>
    <x v="1"/>
    <s v="None"/>
    <d v="2026-02-10T00:00:00"/>
    <n v="636"/>
    <n v="25440"/>
    <n v="15.7"/>
    <n v="0.60750000000000004"/>
    <n v="311"/>
    <n v="0.49"/>
    <n v="0.67159999999999997"/>
    <s v="Retail"/>
    <s v="US South"/>
    <n v="15454.800000000001"/>
  </r>
  <r>
    <s v="DUPVEV"/>
    <x v="12"/>
    <s v="Kids"/>
    <d v="2026-06-01T00:00:00"/>
    <n v="2023"/>
    <s v="Core"/>
    <n v="50"/>
    <n v="50"/>
    <n v="0"/>
    <x v="1"/>
    <s v="None"/>
    <d v="2026-02-04T00:00:00"/>
    <n v="236"/>
    <n v="11800"/>
    <n v="26.94"/>
    <n v="0.4612"/>
    <n v="1280"/>
    <n v="5.42"/>
    <n v="0.15570000000000001"/>
    <s v="Retail"/>
    <s v="US South"/>
    <n v="5442.16"/>
  </r>
  <r>
    <s v="J0LNWM"/>
    <x v="5"/>
    <s v="Lifting Gloves"/>
    <d v="2026-12-01T00:00:00"/>
    <n v="2023"/>
    <s v="Core"/>
    <n v="45"/>
    <n v="45"/>
    <n v="0"/>
    <x v="1"/>
    <s v="None"/>
    <d v="2026-02-15T00:00:00"/>
    <n v="109"/>
    <n v="4905"/>
    <n v="20.23"/>
    <n v="0.5504"/>
    <n v="965"/>
    <n v="8.85"/>
    <n v="0.10150000000000001"/>
    <s v="Retail"/>
    <s v="US West"/>
    <n v="2699.712"/>
  </r>
  <r>
    <s v="8W40D4"/>
    <x v="7"/>
    <s v="Short Sleeve"/>
    <d v="2026-08-01T00:00:00"/>
    <n v="2023"/>
    <s v="Core"/>
    <n v="120"/>
    <n v="120"/>
    <n v="0"/>
    <x v="1"/>
    <s v="None"/>
    <d v="2026-02-11T00:00:00"/>
    <n v="274"/>
    <n v="32880"/>
    <n v="67.75"/>
    <n v="0.43540000000000001"/>
    <n v="1626"/>
    <n v="5.93"/>
    <n v="0.14419999999999999"/>
    <s v="Online"/>
    <s v="US East"/>
    <n v="14315.952000000001"/>
  </r>
  <r>
    <s v="1FKRN2"/>
    <x v="10"/>
    <s v="Backpacks"/>
    <d v="2026-06-01T00:00:00"/>
    <n v="2023"/>
    <s v="Clearance"/>
    <n v="70"/>
    <n v="56"/>
    <n v="0.2"/>
    <x v="0"/>
    <s v="Promo"/>
    <d v="2026-02-14T00:00:00"/>
    <n v="756"/>
    <n v="42336"/>
    <n v="33.619999999999997"/>
    <n v="0.39960000000000001"/>
    <n v="1815"/>
    <n v="2.4"/>
    <n v="0.29399999999999998"/>
    <s v="Retail"/>
    <s v="US Midwest"/>
    <n v="16917.4656"/>
  </r>
  <r>
    <s v="SXKABZ"/>
    <x v="2"/>
    <s v="High"/>
    <d v="2026-12-01T00:00:00"/>
    <n v="2025"/>
    <s v="Core"/>
    <n v="80"/>
    <n v="80"/>
    <n v="0"/>
    <x v="1"/>
    <s v="None"/>
    <d v="2026-02-14T00:00:00"/>
    <n v="674"/>
    <n v="53920"/>
    <n v="28.13"/>
    <n v="0.64839999999999998"/>
    <n v="1404"/>
    <n v="2.08"/>
    <n v="0.32440000000000002"/>
    <s v="Outlet"/>
    <s v="US South"/>
    <n v="34961.727999999996"/>
  </r>
  <r>
    <s v="YQSYX4"/>
    <x v="9"/>
    <s v="Stability"/>
    <d v="2026-05-01T00:00:00"/>
    <n v="2024"/>
    <s v="Core"/>
    <n v="150"/>
    <n v="150"/>
    <n v="0"/>
    <x v="1"/>
    <s v="None"/>
    <d v="2026-02-10T00:00:00"/>
    <n v="680"/>
    <n v="102000"/>
    <n v="84.74"/>
    <n v="0.43509999999999999"/>
    <n v="1685"/>
    <n v="2.48"/>
    <n v="0.28749999999999998"/>
    <s v="Retail"/>
    <s v="US East"/>
    <n v="44380.2"/>
  </r>
  <r>
    <s v="QABB6Q"/>
    <x v="10"/>
    <s v="Sling Bags"/>
    <d v="2026-09-01T00:00:00"/>
    <n v="2023"/>
    <s v="Clearance"/>
    <n v="30"/>
    <n v="24"/>
    <n v="0.2"/>
    <x v="0"/>
    <s v="Promo"/>
    <d v="2026-02-06T00:00:00"/>
    <n v="242"/>
    <n v="5808"/>
    <n v="16.7"/>
    <n v="0.30420000000000003"/>
    <n v="1411"/>
    <n v="5.83"/>
    <n v="0.1464"/>
    <s v="Online"/>
    <s v="US Midwest"/>
    <n v="1766.7936000000002"/>
  </r>
  <r>
    <s v="X05SHQ"/>
    <x v="6"/>
    <s v="Thermal"/>
    <d v="2026-03-01T00:00:00"/>
    <n v="2024"/>
    <s v="Core"/>
    <n v="50"/>
    <n v="50"/>
    <n v="0"/>
    <x v="1"/>
    <s v="None"/>
    <d v="2026-02-13T00:00:00"/>
    <n v="475"/>
    <n v="23750"/>
    <n v="25.65"/>
    <n v="0.48699999999999999"/>
    <n v="927"/>
    <n v="1.95"/>
    <n v="0.33879999999999999"/>
    <s v="Online"/>
    <s v="US East"/>
    <n v="11566.25"/>
  </r>
  <r>
    <s v="B7E26Y"/>
    <x v="3"/>
    <s v="Hoodies"/>
    <d v="2026-08-01T00:00:00"/>
    <n v="2025"/>
    <s v="Core"/>
    <n v="70"/>
    <n v="70"/>
    <n v="0"/>
    <x v="1"/>
    <s v="None"/>
    <d v="2026-02-07T00:00:00"/>
    <n v="659"/>
    <n v="46130"/>
    <n v="26.71"/>
    <n v="0.61839999999999995"/>
    <n v="845"/>
    <n v="1.28"/>
    <n v="0.43819999999999998"/>
    <s v="Retail"/>
    <s v="US South"/>
    <n v="28526.791999999998"/>
  </r>
  <r>
    <s v="P93ABD"/>
    <x v="7"/>
    <s v="Long Sleeve"/>
    <d v="2026-12-01T00:00:00"/>
    <n v="2023"/>
    <s v="Clearance"/>
    <n v="70"/>
    <n v="56"/>
    <n v="0.2"/>
    <x v="0"/>
    <s v="Promo"/>
    <d v="2026-02-09T00:00:00"/>
    <n v="294"/>
    <n v="16464"/>
    <n v="36.67"/>
    <n v="0.34520000000000001"/>
    <n v="1430"/>
    <n v="4.8600000000000003"/>
    <n v="0.17050000000000001"/>
    <s v="Online"/>
    <s v="US East"/>
    <n v="5683.3728000000001"/>
  </r>
  <r>
    <s v="RZEW6G"/>
    <x v="1"/>
    <s v="Underwear"/>
    <d v="2026-05-01T00:00:00"/>
    <n v="2025"/>
    <s v="Clearance"/>
    <n v="60"/>
    <n v="48"/>
    <n v="0.2"/>
    <x v="0"/>
    <s v="Promo"/>
    <d v="2026-02-13T00:00:00"/>
    <n v="87"/>
    <n v="4176"/>
    <n v="23.15"/>
    <n v="0.51770000000000005"/>
    <n v="883"/>
    <n v="10.15"/>
    <n v="8.9700000000000002E-2"/>
    <s v="Outlet"/>
    <s v="US East"/>
    <n v="2161.9152000000004"/>
  </r>
  <r>
    <s v="JUPRTE"/>
    <x v="12"/>
    <s v="Women’s"/>
    <d v="2026-09-01T00:00:00"/>
    <n v="2025"/>
    <s v="Core"/>
    <n v="50"/>
    <n v="50"/>
    <n v="0"/>
    <x v="1"/>
    <s v="None"/>
    <d v="2026-02-13T00:00:00"/>
    <n v="703"/>
    <n v="35150"/>
    <n v="29.04"/>
    <n v="0.41920000000000002"/>
    <n v="1867"/>
    <n v="2.66"/>
    <n v="0.27350000000000002"/>
    <s v="Outlet"/>
    <s v="US West"/>
    <n v="14734.880000000001"/>
  </r>
  <r>
    <s v="14GZZW"/>
    <x v="1"/>
    <s v="Underwear"/>
    <d v="2026-01-01T00:00:00"/>
    <n v="2023"/>
    <s v="Core"/>
    <n v="30"/>
    <n v="30"/>
    <n v="0"/>
    <x v="1"/>
    <s v="None"/>
    <d v="2026-02-09T00:00:00"/>
    <n v="362"/>
    <n v="10860"/>
    <n v="14.92"/>
    <n v="0.50270000000000004"/>
    <n v="513"/>
    <n v="1.42"/>
    <n v="0.41370000000000001"/>
    <s v="Outlet"/>
    <s v="US Midwest"/>
    <n v="5459.3220000000001"/>
  </r>
  <r>
    <s v="1B9X35"/>
    <x v="8"/>
    <s v="Tops"/>
    <d v="2026-04-01T00:00:00"/>
    <n v="2025"/>
    <s v="Core"/>
    <n v="40"/>
    <n v="40"/>
    <n v="0"/>
    <x v="1"/>
    <s v="None"/>
    <d v="2026-02-05T00:00:00"/>
    <n v="794"/>
    <n v="31760"/>
    <n v="23.3"/>
    <n v="0.41749999999999998"/>
    <n v="1884"/>
    <n v="2.37"/>
    <n v="0.29649999999999999"/>
    <s v="Outlet"/>
    <s v="US West"/>
    <n v="13259.8"/>
  </r>
  <r>
    <s v="1IFY5C"/>
    <x v="8"/>
    <s v="Tops"/>
    <d v="2026-03-01T00:00:00"/>
    <n v="2023"/>
    <s v="Core"/>
    <n v="25"/>
    <n v="25"/>
    <n v="0"/>
    <x v="1"/>
    <s v="None"/>
    <d v="2026-02-06T00:00:00"/>
    <n v="334"/>
    <n v="8350"/>
    <n v="12.49"/>
    <n v="0.50039999999999996"/>
    <n v="1650"/>
    <n v="4.9400000000000004"/>
    <n v="0.16830000000000001"/>
    <s v="Outlet"/>
    <s v="US East"/>
    <n v="4178.3399999999992"/>
  </r>
  <r>
    <s v="38AJD1"/>
    <x v="0"/>
    <s v="Joggers"/>
    <d v="2026-12-01T00:00:00"/>
    <n v="2023"/>
    <s v="Clearance"/>
    <n v="40"/>
    <n v="32"/>
    <n v="0.2"/>
    <x v="0"/>
    <s v="Markdown"/>
    <d v="2026-02-13T00:00:00"/>
    <n v="698"/>
    <n v="22336"/>
    <n v="16.97"/>
    <n v="0.46970000000000001"/>
    <n v="1024"/>
    <n v="1.47"/>
    <n v="0.40529999999999999"/>
    <s v="Outlet"/>
    <s v="US South"/>
    <n v="10491.2192"/>
  </r>
  <r>
    <s v="UOOZIS"/>
    <x v="13"/>
    <s v="Hats"/>
    <d v="2026-01-01T00:00:00"/>
    <n v="2024"/>
    <s v="Core"/>
    <n v="120"/>
    <n v="120"/>
    <n v="0"/>
    <x v="1"/>
    <s v="None"/>
    <d v="2026-02-09T00:00:00"/>
    <n v="97"/>
    <n v="11640"/>
    <n v="57.87"/>
    <n v="0.51780000000000004"/>
    <n v="1800"/>
    <n v="18.559999999999999"/>
    <n v="5.11E-2"/>
    <s v="Online"/>
    <s v="US Midwest"/>
    <n v="6027.192"/>
  </r>
  <r>
    <s v="XUMFW0"/>
    <x v="1"/>
    <s v="Underwear"/>
    <d v="2026-12-01T00:00:00"/>
    <n v="2025"/>
    <s v="Core"/>
    <n v="150"/>
    <n v="150"/>
    <n v="0"/>
    <x v="1"/>
    <s v="None"/>
    <d v="2026-02-12T00:00:00"/>
    <n v="593"/>
    <n v="88950"/>
    <n v="66.03"/>
    <n v="0.55979999999999996"/>
    <n v="1347"/>
    <n v="2.27"/>
    <n v="0.30570000000000003"/>
    <s v="Online"/>
    <s v="US Midwest"/>
    <n v="49794.21"/>
  </r>
  <r>
    <s v="DSQC76"/>
    <x v="7"/>
    <s v="Graphic"/>
    <d v="2026-03-01T00:00:00"/>
    <n v="2024"/>
    <s v="Core"/>
    <n v="80"/>
    <n v="80"/>
    <n v="0"/>
    <x v="1"/>
    <s v="None"/>
    <d v="2026-02-12T00:00:00"/>
    <n v="766"/>
    <n v="61280"/>
    <n v="46.12"/>
    <n v="0.42349999999999999"/>
    <n v="1372"/>
    <n v="1.79"/>
    <n v="0.35830000000000001"/>
    <s v="Online"/>
    <s v="US West"/>
    <n v="25952.079999999998"/>
  </r>
  <r>
    <s v="7E9MIK"/>
    <x v="4"/>
    <s v="Compression"/>
    <d v="2026-12-01T00:00:00"/>
    <n v="2023"/>
    <s v="Clearance"/>
    <n v="75"/>
    <n v="60"/>
    <n v="0.2"/>
    <x v="0"/>
    <s v="Promo"/>
    <d v="2026-02-14T00:00:00"/>
    <n v="697"/>
    <n v="41820"/>
    <n v="39.200000000000003"/>
    <n v="0.34670000000000001"/>
    <n v="1197"/>
    <n v="1.72"/>
    <n v="0.36799999999999999"/>
    <s v="Online"/>
    <s v="US East"/>
    <n v="14498.994000000001"/>
  </r>
  <r>
    <s v="T1BZS9"/>
    <x v="13"/>
    <s v="Gloves"/>
    <d v="2026-09-01T00:00:00"/>
    <n v="2025"/>
    <s v="Clearance"/>
    <n v="75"/>
    <n v="60"/>
    <n v="0.2"/>
    <x v="0"/>
    <s v="Promo"/>
    <d v="2026-02-05T00:00:00"/>
    <n v="321"/>
    <n v="19260"/>
    <n v="44.14"/>
    <n v="0.26429999999999998"/>
    <n v="749"/>
    <n v="2.33"/>
    <n v="0.3"/>
    <s v="Retail"/>
    <s v="US West"/>
    <n v="5090.4179999999997"/>
  </r>
  <r>
    <s v="5ZTFFM"/>
    <x v="5"/>
    <s v="Winter Gloves"/>
    <d v="2026-09-01T00:00:00"/>
    <n v="2025"/>
    <s v="Clearance"/>
    <n v="65"/>
    <n v="52"/>
    <n v="0.2"/>
    <x v="0"/>
    <s v="Promo"/>
    <d v="2026-02-13T00:00:00"/>
    <n v="676"/>
    <n v="35152"/>
    <n v="23.25"/>
    <n v="0.55289999999999995"/>
    <n v="1998"/>
    <n v="2.96"/>
    <n v="0.25280000000000002"/>
    <s v="Outlet"/>
    <s v="US West"/>
    <n v="19435.540799999999"/>
  </r>
  <r>
    <s v="8MMBI3"/>
    <x v="11"/>
    <s v="High Support"/>
    <d v="2026-06-01T00:00:00"/>
    <n v="2025"/>
    <s v="Clearance"/>
    <n v="140"/>
    <n v="112"/>
    <n v="0.2"/>
    <x v="0"/>
    <s v="Promo"/>
    <d v="2026-02-07T00:00:00"/>
    <n v="277"/>
    <n v="31024"/>
    <n v="63.13"/>
    <n v="0.43630000000000002"/>
    <n v="300"/>
    <n v="1.08"/>
    <n v="0.48010000000000003"/>
    <s v="Online"/>
    <s v="US West"/>
    <n v="13535.771200000001"/>
  </r>
  <r>
    <s v="V3MF8Q"/>
    <x v="3"/>
    <s v="Bottoms"/>
    <d v="2026-12-01T00:00:00"/>
    <n v="2025"/>
    <s v="Core"/>
    <n v="60"/>
    <n v="60"/>
    <n v="0"/>
    <x v="1"/>
    <s v="None"/>
    <d v="2026-02-13T00:00:00"/>
    <n v="519"/>
    <n v="31140"/>
    <n v="33.11"/>
    <n v="0.44819999999999999"/>
    <n v="1569"/>
    <n v="3.02"/>
    <n v="0.24859999999999999"/>
    <s v="Online"/>
    <s v="US South"/>
    <n v="13956.948"/>
  </r>
  <r>
    <s v="Q6WS1T"/>
    <x v="12"/>
    <s v="Women’s"/>
    <d v="2026-06-01T00:00:00"/>
    <n v="2025"/>
    <s v="Clearance"/>
    <n v="45"/>
    <n v="36"/>
    <n v="0.2"/>
    <x v="0"/>
    <s v="Markdown"/>
    <d v="2026-02-08T00:00:00"/>
    <n v="443"/>
    <n v="15948"/>
    <n v="26.28"/>
    <n v="0.27"/>
    <n v="979"/>
    <n v="2.21"/>
    <n v="0.3115"/>
    <s v="Retail"/>
    <s v="US South"/>
    <n v="4305.96"/>
  </r>
  <r>
    <s v="4WJQKJ"/>
    <x v="11"/>
    <s v="Medium Support"/>
    <d v="2026-05-01T00:00:00"/>
    <n v="2023"/>
    <s v="Core"/>
    <n v="25"/>
    <n v="25"/>
    <n v="0"/>
    <x v="1"/>
    <s v="None"/>
    <d v="2026-02-06T00:00:00"/>
    <n v="683"/>
    <n v="17075"/>
    <n v="11.15"/>
    <n v="0.55400000000000005"/>
    <n v="686"/>
    <n v="1"/>
    <n v="0.49890000000000001"/>
    <s v="Online"/>
    <s v="US South"/>
    <n v="9459.5500000000011"/>
  </r>
  <r>
    <s v="8N3D8Y"/>
    <x v="1"/>
    <s v="Underwear"/>
    <d v="2026-01-01T00:00:00"/>
    <n v="2023"/>
    <s v="Core"/>
    <n v="75"/>
    <n v="75"/>
    <n v="0"/>
    <x v="1"/>
    <s v="None"/>
    <d v="2026-02-09T00:00:00"/>
    <n v="210"/>
    <n v="15750"/>
    <n v="29.07"/>
    <n v="0.61240000000000006"/>
    <n v="1052"/>
    <n v="5.01"/>
    <n v="0.16639999999999999"/>
    <s v="Online"/>
    <s v="US Midwest"/>
    <n v="9645.3000000000011"/>
  </r>
  <r>
    <s v="25RH4M"/>
    <x v="6"/>
    <s v="Zip-Up"/>
    <d v="2026-01-01T00:00:00"/>
    <n v="2024"/>
    <s v="Clearance"/>
    <n v="35"/>
    <n v="28"/>
    <n v="0.2"/>
    <x v="0"/>
    <s v="Promo"/>
    <d v="2026-02-13T00:00:00"/>
    <n v="507"/>
    <n v="14196"/>
    <n v="18.45"/>
    <n v="0.34110000000000001"/>
    <n v="1083"/>
    <n v="2.14"/>
    <n v="0.31890000000000002"/>
    <s v="Retail"/>
    <s v="US Midwest"/>
    <n v="4842.2556000000004"/>
  </r>
  <r>
    <s v="DJY6QV"/>
    <x v="1"/>
    <s v="Underwear"/>
    <d v="2026-06-01T00:00:00"/>
    <n v="2023"/>
    <s v="Clearance"/>
    <n v="25"/>
    <n v="20"/>
    <n v="0.2"/>
    <x v="0"/>
    <s v="Promo"/>
    <d v="2026-02-03T00:00:00"/>
    <n v="178"/>
    <n v="3560"/>
    <n v="9"/>
    <n v="0.55000000000000004"/>
    <n v="310"/>
    <n v="1.74"/>
    <n v="0.36480000000000001"/>
    <s v="Online"/>
    <s v="US East"/>
    <n v="1958.0000000000002"/>
  </r>
  <r>
    <s v="7D66UW"/>
    <x v="4"/>
    <s v="Patterned"/>
    <d v="2026-09-01T00:00:00"/>
    <n v="2023"/>
    <s v="Core"/>
    <n v="35"/>
    <n v="35"/>
    <n v="0"/>
    <x v="1"/>
    <s v="None"/>
    <d v="2026-02-07T00:00:00"/>
    <n v="510"/>
    <n v="17850"/>
    <n v="13.79"/>
    <n v="0.60599999999999998"/>
    <n v="469"/>
    <n v="0.92"/>
    <n v="0.52090000000000003"/>
    <s v="Retail"/>
    <s v="US West"/>
    <n v="10817.1"/>
  </r>
  <r>
    <s v="CVNA9D"/>
    <x v="3"/>
    <s v="Bottoms"/>
    <d v="2026-09-01T00:00:00"/>
    <n v="2025"/>
    <s v="Clearance"/>
    <n v="35"/>
    <n v="28"/>
    <n v="0.2"/>
    <x v="0"/>
    <s v="Promo"/>
    <d v="2026-02-14T00:00:00"/>
    <n v="671"/>
    <n v="18788"/>
    <n v="17.29"/>
    <n v="0.38250000000000001"/>
    <n v="1547"/>
    <n v="2.31"/>
    <n v="0.30249999999999999"/>
    <s v="Online"/>
    <s v="US East"/>
    <n v="7186.41"/>
  </r>
  <r>
    <s v="B75LF8"/>
    <x v="4"/>
    <s v="Compression"/>
    <d v="2026-12-01T00:00:00"/>
    <n v="2024"/>
    <s v="Clearance"/>
    <n v="120"/>
    <n v="96"/>
    <n v="0.2"/>
    <x v="0"/>
    <s v="Promo"/>
    <d v="2026-02-08T00:00:00"/>
    <n v="674"/>
    <n v="64704"/>
    <n v="44.41"/>
    <n v="0.53739999999999999"/>
    <n v="561"/>
    <n v="0.83"/>
    <n v="0.54569999999999996"/>
    <s v="Online"/>
    <s v="US Midwest"/>
    <n v="34771.929599999996"/>
  </r>
  <r>
    <s v="TS3MHU"/>
    <x v="10"/>
    <s v="Sling Bags"/>
    <d v="2026-09-01T00:00:00"/>
    <n v="2024"/>
    <s v="Core"/>
    <n v="80"/>
    <n v="80"/>
    <n v="0"/>
    <x v="1"/>
    <s v="None"/>
    <d v="2026-02-07T00:00:00"/>
    <n v="732"/>
    <n v="58560"/>
    <n v="46.41"/>
    <n v="0.4199"/>
    <n v="1085"/>
    <n v="1.48"/>
    <n v="0.40289999999999998"/>
    <s v="Online"/>
    <s v="US West"/>
    <n v="24589.344000000001"/>
  </r>
  <r>
    <s v="ODBCI4"/>
    <x v="8"/>
    <s v="Bottoms"/>
    <d v="2026-04-01T00:00:00"/>
    <n v="2023"/>
    <s v="Core"/>
    <n v="70"/>
    <n v="70"/>
    <n v="0"/>
    <x v="1"/>
    <s v="None"/>
    <d v="2026-02-08T00:00:00"/>
    <n v="283"/>
    <n v="19810"/>
    <n v="38.82"/>
    <n v="0.44540000000000002"/>
    <n v="359"/>
    <n v="1.27"/>
    <n v="0.44080000000000003"/>
    <s v="Outlet"/>
    <s v="US East"/>
    <n v="8823.3739999999998"/>
  </r>
  <r>
    <s v="73BDN8"/>
    <x v="7"/>
    <s v="Long Sleeve"/>
    <d v="2026-12-01T00:00:00"/>
    <n v="2024"/>
    <s v="Clearance"/>
    <n v="55"/>
    <n v="44"/>
    <n v="0.2"/>
    <x v="0"/>
    <s v="Promo"/>
    <d v="2026-02-06T00:00:00"/>
    <n v="212"/>
    <n v="9328"/>
    <n v="27.09"/>
    <n v="0.38429999999999997"/>
    <n v="624"/>
    <n v="2.94"/>
    <n v="0.25359999999999999"/>
    <s v="Online"/>
    <s v="US South"/>
    <n v="3584.7503999999999"/>
  </r>
  <r>
    <s v="RWJBKC"/>
    <x v="7"/>
    <s v="Graphic"/>
    <d v="2026-01-01T00:00:00"/>
    <n v="2023"/>
    <s v="Clearance"/>
    <n v="75"/>
    <n v="60"/>
    <n v="0.2"/>
    <x v="0"/>
    <s v="Promo"/>
    <d v="2026-02-01T00:00:00"/>
    <n v="751"/>
    <n v="45060"/>
    <n v="33.630000000000003"/>
    <n v="0.4395"/>
    <n v="826"/>
    <n v="1.1000000000000001"/>
    <n v="0.47620000000000001"/>
    <s v="Retail"/>
    <s v="US East"/>
    <n v="19803.87"/>
  </r>
  <r>
    <s v="RHRVQ3"/>
    <x v="10"/>
    <s v="Sling Bags"/>
    <d v="2026-03-01T00:00:00"/>
    <n v="2025"/>
    <s v="Clearance"/>
    <n v="60"/>
    <n v="48"/>
    <n v="0.2"/>
    <x v="0"/>
    <s v="Promo"/>
    <d v="2026-02-15T00:00:00"/>
    <n v="797"/>
    <n v="38256"/>
    <n v="28.88"/>
    <n v="0.39829999999999999"/>
    <n v="1958"/>
    <n v="2.46"/>
    <n v="0.2893"/>
    <s v="Online"/>
    <s v="US Midwest"/>
    <n v="15237.364799999999"/>
  </r>
  <r>
    <s v="S8V4RT"/>
    <x v="3"/>
    <s v="Hoodies"/>
    <d v="2026-06-01T00:00:00"/>
    <n v="2023"/>
    <s v="Core"/>
    <n v="120"/>
    <n v="120"/>
    <n v="0"/>
    <x v="1"/>
    <s v="None"/>
    <d v="2026-02-08T00:00:00"/>
    <n v="81"/>
    <n v="9720"/>
    <n v="62.41"/>
    <n v="0.47989999999999999"/>
    <n v="1016"/>
    <n v="12.54"/>
    <n v="7.3800000000000004E-2"/>
    <s v="Online"/>
    <s v="US West"/>
    <n v="4664.6279999999997"/>
  </r>
  <r>
    <s v="B9AEL0"/>
    <x v="6"/>
    <s v="Thermal"/>
    <d v="2026-09-01T00:00:00"/>
    <n v="2024"/>
    <s v="Clearance"/>
    <n v="65"/>
    <n v="52"/>
    <n v="0.2"/>
    <x v="0"/>
    <s v="Markdown"/>
    <d v="2026-02-15T00:00:00"/>
    <n v="547"/>
    <n v="28444"/>
    <n v="24.69"/>
    <n v="0.5252"/>
    <n v="1608"/>
    <n v="2.94"/>
    <n v="0.25380000000000003"/>
    <s v="Online"/>
    <s v="US South"/>
    <n v="14938.7888"/>
  </r>
  <r>
    <s v="2NR66C"/>
    <x v="1"/>
    <s v="Socks"/>
    <d v="2026-12-01T00:00:00"/>
    <n v="2024"/>
    <s v="Core"/>
    <n v="30"/>
    <n v="30"/>
    <n v="0"/>
    <x v="1"/>
    <s v="None"/>
    <d v="2026-02-04T00:00:00"/>
    <n v="407"/>
    <n v="12210"/>
    <n v="17.43"/>
    <n v="0.41899999999999998"/>
    <n v="380"/>
    <n v="0.93"/>
    <n v="0.51719999999999999"/>
    <s v="Retail"/>
    <s v="US Midwest"/>
    <n v="5115.99"/>
  </r>
  <r>
    <s v="PQF2BM"/>
    <x v="6"/>
    <s v="Fleece"/>
    <d v="2026-06-01T00:00:00"/>
    <n v="2023"/>
    <s v="Core"/>
    <n v="40"/>
    <n v="40"/>
    <n v="0"/>
    <x v="1"/>
    <s v="None"/>
    <d v="2026-02-01T00:00:00"/>
    <n v="417"/>
    <n v="16680"/>
    <n v="16.36"/>
    <n v="0.59099999999999997"/>
    <n v="1519"/>
    <n v="3.64"/>
    <n v="0.21540000000000001"/>
    <s v="Online"/>
    <s v="US West"/>
    <n v="9857.8799999999992"/>
  </r>
  <r>
    <s v="PUVQIT"/>
    <x v="8"/>
    <s v="Bottoms"/>
    <d v="2026-01-01T00:00:00"/>
    <n v="2023"/>
    <s v="Clearance"/>
    <n v="55"/>
    <n v="44"/>
    <n v="0.2"/>
    <x v="0"/>
    <s v="Promo"/>
    <d v="2026-02-12T00:00:00"/>
    <n v="786"/>
    <n v="34584"/>
    <n v="23.4"/>
    <n v="0.46820000000000001"/>
    <n v="1931"/>
    <n v="2.46"/>
    <n v="0.2893"/>
    <s v="Online"/>
    <s v="US East"/>
    <n v="16192.228800000001"/>
  </r>
  <r>
    <s v="P8NO6I"/>
    <x v="3"/>
    <s v="Bottoms"/>
    <d v="2026-01-01T00:00:00"/>
    <n v="2025"/>
    <s v="Clearance"/>
    <n v="45"/>
    <n v="36"/>
    <n v="0.2"/>
    <x v="0"/>
    <s v="Markdown"/>
    <d v="2026-02-11T00:00:00"/>
    <n v="287"/>
    <n v="10332"/>
    <n v="19.48"/>
    <n v="0.45889999999999997"/>
    <n v="1648"/>
    <n v="5.74"/>
    <n v="0.14829999999999999"/>
    <s v="Retail"/>
    <s v="US East"/>
    <n v="4741.3548000000001"/>
  </r>
  <r>
    <s v="0XHP6L"/>
    <x v="2"/>
    <s v="High"/>
    <d v="2026-12-01T00:00:00"/>
    <n v="2023"/>
    <s v="Core"/>
    <n v="35"/>
    <n v="35"/>
    <n v="0"/>
    <x v="1"/>
    <s v="None"/>
    <d v="2026-02-03T00:00:00"/>
    <n v="261"/>
    <n v="9135"/>
    <n v="18.73"/>
    <n v="0.46489999999999998"/>
    <n v="887"/>
    <n v="3.4"/>
    <n v="0.22739999999999999"/>
    <s v="Online"/>
    <s v="US West"/>
    <n v="4246.8615"/>
  </r>
  <r>
    <s v="2KBPC3"/>
    <x v="14"/>
    <s v="Jackets"/>
    <d v="2026-05-01T00:00:00"/>
    <n v="2024"/>
    <s v="Core"/>
    <n v="80"/>
    <n v="80"/>
    <n v="0"/>
    <x v="1"/>
    <s v="None"/>
    <d v="2026-02-09T00:00:00"/>
    <n v="736"/>
    <n v="58880"/>
    <n v="45.87"/>
    <n v="0.42659999999999998"/>
    <n v="1728"/>
    <n v="2.35"/>
    <n v="0.29870000000000002"/>
    <s v="Outlet"/>
    <s v="US West"/>
    <n v="25118.207999999999"/>
  </r>
  <r>
    <s v="01H4OE"/>
    <x v="13"/>
    <s v="Hats"/>
    <d v="2026-05-01T00:00:00"/>
    <n v="2025"/>
    <s v="Clearance"/>
    <n v="60"/>
    <n v="48"/>
    <n v="0.2"/>
    <x v="0"/>
    <s v="Markdown"/>
    <d v="2026-02-14T00:00:00"/>
    <n v="636"/>
    <n v="30528"/>
    <n v="35.21"/>
    <n v="0.26650000000000001"/>
    <n v="1504"/>
    <n v="2.36"/>
    <n v="0.29720000000000002"/>
    <s v="Retail"/>
    <s v="US Midwest"/>
    <n v="8135.7120000000004"/>
  </r>
  <r>
    <s v="ETK49B"/>
    <x v="4"/>
    <s v="Compression"/>
    <d v="2026-12-01T00:00:00"/>
    <n v="2023"/>
    <s v="Core"/>
    <n v="40"/>
    <n v="40"/>
    <n v="0"/>
    <x v="1"/>
    <s v="None"/>
    <d v="2026-02-11T00:00:00"/>
    <n v="589"/>
    <n v="23560"/>
    <n v="18.78"/>
    <n v="0.53049999999999997"/>
    <n v="973"/>
    <n v="1.65"/>
    <n v="0.37709999999999999"/>
    <s v="Outlet"/>
    <s v="US East"/>
    <n v="12498.58"/>
  </r>
  <r>
    <s v="GVPTND"/>
    <x v="6"/>
    <s v="Zip-Up"/>
    <d v="2026-04-01T00:00:00"/>
    <n v="2025"/>
    <s v="Core"/>
    <n v="140"/>
    <n v="140"/>
    <n v="0"/>
    <x v="1"/>
    <s v="None"/>
    <d v="2026-02-01T00:00:00"/>
    <n v="610"/>
    <n v="85400"/>
    <n v="57.53"/>
    <n v="0.58909999999999996"/>
    <n v="828"/>
    <n v="1.36"/>
    <n v="0.42420000000000002"/>
    <s v="Online"/>
    <s v="US Midwest"/>
    <n v="50309.14"/>
  </r>
  <r>
    <s v="EPBTR9"/>
    <x v="7"/>
    <s v="Graphic"/>
    <d v="2026-08-01T00:00:00"/>
    <n v="2023"/>
    <s v="Core"/>
    <n v="65"/>
    <n v="65"/>
    <n v="0"/>
    <x v="1"/>
    <s v="None"/>
    <d v="2026-02-07T00:00:00"/>
    <n v="143"/>
    <n v="9295"/>
    <n v="31.73"/>
    <n v="0.51180000000000003"/>
    <n v="468"/>
    <n v="3.27"/>
    <n v="0.23400000000000001"/>
    <s v="Outlet"/>
    <s v="US South"/>
    <n v="4757.1810000000005"/>
  </r>
  <r>
    <s v="VNNIZJ"/>
    <x v="4"/>
    <s v="Patterned"/>
    <d v="2026-01-01T00:00:00"/>
    <n v="2023"/>
    <s v="Clearance"/>
    <n v="40"/>
    <n v="32"/>
    <n v="0.2"/>
    <x v="0"/>
    <s v="Promo"/>
    <d v="2026-02-14T00:00:00"/>
    <n v="186"/>
    <n v="5952"/>
    <n v="21.25"/>
    <n v="0.33589999999999998"/>
    <n v="366"/>
    <n v="1.97"/>
    <n v="0.33700000000000002"/>
    <s v="Outlet"/>
    <s v="US Midwest"/>
    <n v="1999.2767999999999"/>
  </r>
  <r>
    <s v="18ESPI"/>
    <x v="5"/>
    <s v="Winter Gloves"/>
    <d v="2026-05-01T00:00:00"/>
    <n v="2024"/>
    <s v="Core"/>
    <n v="120"/>
    <n v="120"/>
    <n v="0"/>
    <x v="1"/>
    <s v="None"/>
    <d v="2026-02-03T00:00:00"/>
    <n v="487"/>
    <n v="58440"/>
    <n v="71.62"/>
    <n v="0.4032"/>
    <n v="1207"/>
    <n v="2.48"/>
    <n v="0.28749999999999998"/>
    <s v="Retail"/>
    <s v="US East"/>
    <n v="23563.008000000002"/>
  </r>
  <r>
    <s v="44TX00"/>
    <x v="3"/>
    <s v="Bottoms"/>
    <d v="2026-05-01T00:00:00"/>
    <n v="2024"/>
    <s v="Core"/>
    <n v="55"/>
    <n v="55"/>
    <n v="0"/>
    <x v="1"/>
    <s v="None"/>
    <d v="2026-02-15T00:00:00"/>
    <n v="134"/>
    <n v="7370"/>
    <n v="28.61"/>
    <n v="0.4798"/>
    <n v="1338"/>
    <n v="9.99"/>
    <n v="9.0999999999999998E-2"/>
    <s v="Outlet"/>
    <s v="US Midwest"/>
    <n v="3536.1260000000002"/>
  </r>
  <r>
    <s v="T6KHGI"/>
    <x v="13"/>
    <s v="Hats"/>
    <d v="2026-09-01T00:00:00"/>
    <n v="2025"/>
    <s v="Core"/>
    <n v="60"/>
    <n v="60"/>
    <n v="0"/>
    <x v="1"/>
    <s v="None"/>
    <d v="2026-02-04T00:00:00"/>
    <n v="378"/>
    <n v="22680"/>
    <n v="28.56"/>
    <n v="0.52400000000000002"/>
    <n v="656"/>
    <n v="1.74"/>
    <n v="0.36559999999999998"/>
    <s v="Retail"/>
    <s v="US South"/>
    <n v="11884.32"/>
  </r>
  <r>
    <s v="GQD03H"/>
    <x v="4"/>
    <s v="High-Rise"/>
    <d v="2026-09-01T00:00:00"/>
    <n v="2023"/>
    <s v="Core"/>
    <n v="45"/>
    <n v="45"/>
    <n v="0"/>
    <x v="1"/>
    <s v="None"/>
    <d v="2026-02-05T00:00:00"/>
    <n v="758"/>
    <n v="34110"/>
    <n v="16.14"/>
    <n v="0.64129999999999998"/>
    <n v="742"/>
    <n v="0.98"/>
    <n v="0.50529999999999997"/>
    <s v="Outlet"/>
    <s v="US East"/>
    <n v="21874.742999999999"/>
  </r>
  <r>
    <s v="DZYHWZ"/>
    <x v="11"/>
    <s v="High Support"/>
    <d v="2026-08-01T00:00:00"/>
    <n v="2024"/>
    <s v="Clearance"/>
    <n v="55"/>
    <n v="44"/>
    <n v="0.2"/>
    <x v="0"/>
    <s v="Markdown"/>
    <d v="2026-02-03T00:00:00"/>
    <n v="575"/>
    <n v="25300"/>
    <n v="19.63"/>
    <n v="0.55389999999999995"/>
    <n v="1809"/>
    <n v="3.15"/>
    <n v="0.2412"/>
    <s v="Outlet"/>
    <s v="US West"/>
    <n v="14013.669999999998"/>
  </r>
  <r>
    <s v="GNCJNA"/>
    <x v="9"/>
    <s v="Cushion"/>
    <d v="2026-01-01T00:00:00"/>
    <n v="2024"/>
    <s v="Clearance"/>
    <n v="140"/>
    <n v="112"/>
    <n v="0.2"/>
    <x v="0"/>
    <s v="Markdown"/>
    <d v="2026-02-01T00:00:00"/>
    <n v="689"/>
    <n v="77168"/>
    <n v="73.22"/>
    <n v="0.3463"/>
    <n v="1550"/>
    <n v="2.25"/>
    <n v="0.30769999999999997"/>
    <s v="Outlet"/>
    <s v="US East"/>
    <n v="26723.278399999999"/>
  </r>
  <r>
    <s v="ZS0ZKY"/>
    <x v="3"/>
    <s v="Hoodies"/>
    <d v="2026-04-01T00:00:00"/>
    <n v="2025"/>
    <s v="Clearance"/>
    <n v="25"/>
    <n v="20"/>
    <n v="0.2"/>
    <x v="0"/>
    <s v="Promo"/>
    <d v="2026-02-02T00:00:00"/>
    <n v="777"/>
    <n v="15540"/>
    <n v="12.04"/>
    <n v="0.39800000000000002"/>
    <n v="1015"/>
    <n v="1.31"/>
    <n v="0.43359999999999999"/>
    <s v="Outlet"/>
    <s v="US South"/>
    <n v="6184.92"/>
  </r>
  <r>
    <s v="O7JNEW"/>
    <x v="10"/>
    <s v="Duffels"/>
    <d v="2026-06-01T00:00:00"/>
    <n v="2025"/>
    <s v="Clearance"/>
    <n v="45"/>
    <n v="36"/>
    <n v="0.2"/>
    <x v="0"/>
    <s v="Promo"/>
    <d v="2026-02-02T00:00:00"/>
    <n v="414"/>
    <n v="14904"/>
    <n v="16.73"/>
    <n v="0.5353"/>
    <n v="1999"/>
    <n v="4.83"/>
    <n v="0.1716"/>
    <s v="Outlet"/>
    <s v="US Midwest"/>
    <n v="7978.1112000000003"/>
  </r>
  <r>
    <s v="ZEZ6AZ"/>
    <x v="14"/>
    <s v="Jackets"/>
    <d v="2026-09-01T00:00:00"/>
    <n v="2023"/>
    <s v="Core"/>
    <n v="55"/>
    <n v="55"/>
    <n v="0"/>
    <x v="1"/>
    <s v="None"/>
    <d v="2026-02-09T00:00:00"/>
    <n v="547"/>
    <n v="30085"/>
    <n v="32.51"/>
    <n v="0.40889999999999999"/>
    <n v="881"/>
    <n v="1.61"/>
    <n v="0.3831"/>
    <s v="Retail"/>
    <s v="US East"/>
    <n v="12301.7565"/>
  </r>
  <r>
    <s v="S0H1QU"/>
    <x v="1"/>
    <s v="Underwear"/>
    <d v="2026-12-01T00:00:00"/>
    <n v="2024"/>
    <s v="Clearance"/>
    <n v="45"/>
    <n v="36"/>
    <n v="0.2"/>
    <x v="0"/>
    <s v="Promo"/>
    <d v="2026-02-14T00:00:00"/>
    <n v="438"/>
    <n v="15768"/>
    <n v="17.100000000000001"/>
    <n v="0.52500000000000002"/>
    <n v="629"/>
    <n v="1.44"/>
    <n v="0.41049999999999998"/>
    <s v="Outlet"/>
    <s v="US South"/>
    <n v="8278.2000000000007"/>
  </r>
  <r>
    <s v="Z8PM1M"/>
    <x v="7"/>
    <s v="Short Sleeve"/>
    <d v="2026-03-01T00:00:00"/>
    <n v="2025"/>
    <s v="Clearance"/>
    <n v="120"/>
    <n v="96"/>
    <n v="0.2"/>
    <x v="0"/>
    <s v="Promo"/>
    <d v="2026-02-08T00:00:00"/>
    <n v="210"/>
    <n v="20160"/>
    <n v="57.97"/>
    <n v="0.39610000000000001"/>
    <n v="523"/>
    <n v="2.4900000000000002"/>
    <n v="0.28649999999999998"/>
    <s v="Outlet"/>
    <s v="US West"/>
    <n v="7985.3760000000002"/>
  </r>
  <r>
    <s v="5S0ZXW"/>
    <x v="7"/>
    <s v="Graphic"/>
    <d v="2026-12-01T00:00:00"/>
    <n v="2025"/>
    <s v="Core"/>
    <n v="30"/>
    <n v="30"/>
    <n v="0"/>
    <x v="1"/>
    <s v="None"/>
    <d v="2026-02-08T00:00:00"/>
    <n v="590"/>
    <n v="17700"/>
    <n v="17.97"/>
    <n v="0.40100000000000002"/>
    <n v="551"/>
    <n v="0.93"/>
    <n v="0.5171"/>
    <s v="Retail"/>
    <s v="US East"/>
    <n v="7097.7000000000007"/>
  </r>
  <r>
    <s v="1U30GO"/>
    <x v="11"/>
    <s v="High Support"/>
    <d v="2026-04-01T00:00:00"/>
    <n v="2023"/>
    <s v="Core"/>
    <n v="140"/>
    <n v="140"/>
    <n v="0"/>
    <x v="1"/>
    <s v="None"/>
    <d v="2026-02-03T00:00:00"/>
    <n v="471"/>
    <n v="65940"/>
    <n v="76.47"/>
    <n v="0.45379999999999998"/>
    <n v="770"/>
    <n v="1.63"/>
    <n v="0.3795"/>
    <s v="Outlet"/>
    <s v="US South"/>
    <n v="29923.572"/>
  </r>
  <r>
    <s v="K66MNO"/>
    <x v="12"/>
    <s v="Women’s"/>
    <d v="2026-03-01T00:00:00"/>
    <n v="2023"/>
    <s v="Core"/>
    <n v="55"/>
    <n v="55"/>
    <n v="0"/>
    <x v="1"/>
    <s v="None"/>
    <d v="2026-02-08T00:00:00"/>
    <n v="776"/>
    <n v="42680"/>
    <n v="21.7"/>
    <n v="0.60550000000000004"/>
    <n v="995"/>
    <n v="1.28"/>
    <n v="0.43819999999999998"/>
    <s v="Retail"/>
    <s v="US South"/>
    <n v="25842.74"/>
  </r>
  <r>
    <s v="NRZJC7"/>
    <x v="13"/>
    <s v="Gloves"/>
    <d v="2026-05-01T00:00:00"/>
    <n v="2024"/>
    <s v="Clearance"/>
    <n v="50"/>
    <n v="40"/>
    <n v="0.2"/>
    <x v="0"/>
    <s v="Markdown"/>
    <d v="2026-02-15T00:00:00"/>
    <n v="389"/>
    <n v="15560"/>
    <n v="23.7"/>
    <n v="0.40749999999999997"/>
    <n v="372"/>
    <n v="0.96"/>
    <n v="0.51119999999999999"/>
    <s v="Outlet"/>
    <s v="US Midwest"/>
    <n v="6340.7"/>
  </r>
  <r>
    <s v="OBTWG0"/>
    <x v="11"/>
    <s v="High Support"/>
    <d v="2026-08-01T00:00:00"/>
    <n v="2024"/>
    <s v="Core"/>
    <n v="60"/>
    <n v="60"/>
    <n v="0"/>
    <x v="1"/>
    <s v="None"/>
    <d v="2026-02-13T00:00:00"/>
    <n v="89"/>
    <n v="5340"/>
    <n v="28.07"/>
    <n v="0.53220000000000001"/>
    <n v="1894"/>
    <n v="21.28"/>
    <n v="4.4900000000000002E-2"/>
    <s v="Retail"/>
    <s v="US East"/>
    <n v="2841.9479999999999"/>
  </r>
  <r>
    <s v="Y96MVW"/>
    <x v="13"/>
    <s v="Socks"/>
    <d v="2026-04-01T00:00:00"/>
    <n v="2023"/>
    <s v="Core"/>
    <n v="140"/>
    <n v="140"/>
    <n v="0"/>
    <x v="1"/>
    <s v="None"/>
    <d v="2026-02-11T00:00:00"/>
    <n v="594"/>
    <n v="83160"/>
    <n v="71.37"/>
    <n v="0.49020000000000002"/>
    <n v="1975"/>
    <n v="3.32"/>
    <n v="0.23119999999999999"/>
    <s v="Outlet"/>
    <s v="US South"/>
    <n v="40765.031999999999"/>
  </r>
  <r>
    <s v="0EXLIB"/>
    <x v="8"/>
    <s v="Bottoms"/>
    <d v="2026-12-01T00:00:00"/>
    <n v="2025"/>
    <s v="Clearance"/>
    <n v="150"/>
    <n v="120"/>
    <n v="0.2"/>
    <x v="0"/>
    <s v="Markdown"/>
    <d v="2026-02-02T00:00:00"/>
    <n v="668"/>
    <n v="80160"/>
    <n v="52.57"/>
    <n v="0.56189999999999996"/>
    <n v="1205"/>
    <n v="1.8"/>
    <n v="0.35659999999999997"/>
    <s v="Retail"/>
    <s v="US South"/>
    <n v="45041.903999999995"/>
  </r>
  <r>
    <s v="MFTG2Z"/>
    <x v="10"/>
    <s v="Backpacks"/>
    <d v="2026-01-01T00:00:00"/>
    <n v="2024"/>
    <s v="Clearance"/>
    <n v="70"/>
    <n v="56"/>
    <n v="0.2"/>
    <x v="0"/>
    <s v="Promo"/>
    <d v="2026-02-04T00:00:00"/>
    <n v="450"/>
    <n v="25200"/>
    <n v="37.729999999999997"/>
    <n v="0.32629999999999998"/>
    <n v="1269"/>
    <n v="2.82"/>
    <n v="0.26179999999999998"/>
    <s v="Outlet"/>
    <s v="US Midwest"/>
    <n v="8222.76"/>
  </r>
  <r>
    <s v="49TOJ7"/>
    <x v="15"/>
    <s v="Beanies"/>
    <d v="2026-12-01T00:00:00"/>
    <n v="2024"/>
    <s v="Core"/>
    <n v="120"/>
    <n v="120"/>
    <n v="0"/>
    <x v="1"/>
    <s v="None"/>
    <d v="2026-02-05T00:00:00"/>
    <n v="272"/>
    <n v="32640"/>
    <n v="70.38"/>
    <n v="0.41349999999999998"/>
    <n v="964"/>
    <n v="3.54"/>
    <n v="0.22009999999999999"/>
    <s v="Retail"/>
    <s v="US East"/>
    <n v="13496.64"/>
  </r>
  <r>
    <s v="4TQIBW"/>
    <x v="6"/>
    <s v="Fleece"/>
    <d v="2026-03-01T00:00:00"/>
    <n v="2023"/>
    <s v="Core"/>
    <n v="70"/>
    <n v="70"/>
    <n v="0"/>
    <x v="1"/>
    <s v="None"/>
    <d v="2026-02-14T00:00:00"/>
    <n v="334"/>
    <n v="23380"/>
    <n v="27.16"/>
    <n v="0.61199999999999999"/>
    <n v="1765"/>
    <n v="5.28"/>
    <n v="0.15909999999999999"/>
    <s v="Outlet"/>
    <s v="US South"/>
    <n v="14308.56"/>
  </r>
  <r>
    <s v="Z7NUYG"/>
    <x v="5"/>
    <s v="Lifting Gloves"/>
    <d v="2026-09-01T00:00:00"/>
    <n v="2024"/>
    <s v="Core"/>
    <n v="55"/>
    <n v="55"/>
    <n v="0"/>
    <x v="1"/>
    <s v="None"/>
    <d v="2026-02-08T00:00:00"/>
    <n v="119"/>
    <n v="6545"/>
    <n v="19.489999999999998"/>
    <n v="0.64559999999999995"/>
    <n v="309"/>
    <n v="2.6"/>
    <n v="0.27800000000000002"/>
    <s v="Retail"/>
    <s v="US East"/>
    <n v="4225.4519999999993"/>
  </r>
  <r>
    <s v="YGVR58"/>
    <x v="4"/>
    <s v="Patterned"/>
    <d v="2026-04-01T00:00:00"/>
    <n v="2023"/>
    <s v="Clearance"/>
    <n v="45"/>
    <n v="36"/>
    <n v="0.2"/>
    <x v="0"/>
    <s v="Markdown"/>
    <d v="2026-02-15T00:00:00"/>
    <n v="347"/>
    <n v="12492"/>
    <n v="20.97"/>
    <n v="0.41749999999999998"/>
    <n v="918"/>
    <n v="2.65"/>
    <n v="0.27429999999999999"/>
    <s v="Online"/>
    <s v="US East"/>
    <n v="5215.41"/>
  </r>
  <r>
    <s v="LWA6JU"/>
    <x v="10"/>
    <s v="Sling Bags"/>
    <d v="2026-05-01T00:00:00"/>
    <n v="2023"/>
    <s v="Core"/>
    <n v="120"/>
    <n v="120"/>
    <n v="0"/>
    <x v="1"/>
    <s v="None"/>
    <d v="2026-02-05T00:00:00"/>
    <n v="377"/>
    <n v="45240"/>
    <n v="70.650000000000006"/>
    <n v="0.41120000000000001"/>
    <n v="1489"/>
    <n v="3.95"/>
    <n v="0.20200000000000001"/>
    <s v="Outlet"/>
    <s v="US West"/>
    <n v="18602.688000000002"/>
  </r>
  <r>
    <s v="LFQ6H6"/>
    <x v="6"/>
    <s v="Fleece"/>
    <d v="2026-04-01T00:00:00"/>
    <n v="2024"/>
    <s v="Core"/>
    <n v="60"/>
    <n v="60"/>
    <n v="0"/>
    <x v="1"/>
    <s v="None"/>
    <d v="2026-02-14T00:00:00"/>
    <n v="714"/>
    <n v="42840"/>
    <n v="32.96"/>
    <n v="0.45069999999999999"/>
    <n v="540"/>
    <n v="0.76"/>
    <n v="0.56940000000000002"/>
    <s v="Retail"/>
    <s v="US Midwest"/>
    <n v="19307.988000000001"/>
  </r>
  <r>
    <s v="F5SJQW"/>
    <x v="10"/>
    <s v="Backpacks"/>
    <d v="2026-06-01T00:00:00"/>
    <n v="2025"/>
    <s v="Clearance"/>
    <n v="75"/>
    <n v="60"/>
    <n v="0.2"/>
    <x v="0"/>
    <s v="Markdown"/>
    <d v="2026-02-01T00:00:00"/>
    <n v="694"/>
    <n v="41640"/>
    <n v="37.01"/>
    <n v="0.38319999999999999"/>
    <n v="1531"/>
    <n v="2.21"/>
    <n v="0.31190000000000001"/>
    <s v="Retail"/>
    <s v="US South"/>
    <n v="15956.447999999999"/>
  </r>
  <r>
    <s v="9VXSFI"/>
    <x v="3"/>
    <s v="Hoodies"/>
    <d v="2026-08-01T00:00:00"/>
    <n v="2024"/>
    <s v="Clearance"/>
    <n v="45"/>
    <n v="36"/>
    <n v="0.2"/>
    <x v="0"/>
    <s v="Promo"/>
    <d v="2026-02-01T00:00:00"/>
    <n v="537"/>
    <n v="19332"/>
    <n v="19.02"/>
    <n v="0.47170000000000001"/>
    <n v="375"/>
    <n v="0.7"/>
    <n v="0.58879999999999999"/>
    <s v="Retail"/>
    <s v="US South"/>
    <n v="9118.9043999999994"/>
  </r>
  <r>
    <s v="CCMDCV"/>
    <x v="4"/>
    <s v="High-Rise"/>
    <d v="2026-09-01T00:00:00"/>
    <n v="2023"/>
    <s v="Core"/>
    <n v="75"/>
    <n v="75"/>
    <n v="0"/>
    <x v="1"/>
    <s v="None"/>
    <d v="2026-02-11T00:00:00"/>
    <n v="463"/>
    <n v="34725"/>
    <n v="36.840000000000003"/>
    <n v="0.50880000000000003"/>
    <n v="1325"/>
    <n v="2.86"/>
    <n v="0.25890000000000002"/>
    <s v="Retail"/>
    <s v="US West"/>
    <n v="17668.080000000002"/>
  </r>
  <r>
    <s v="0UIW8Q"/>
    <x v="0"/>
    <s v="Shorts"/>
    <d v="2026-06-01T00:00:00"/>
    <n v="2024"/>
    <s v="Clearance"/>
    <n v="45"/>
    <n v="36"/>
    <n v="0.2"/>
    <x v="0"/>
    <s v="Markdown"/>
    <d v="2026-02-13T00:00:00"/>
    <n v="367"/>
    <n v="13212"/>
    <n v="23.57"/>
    <n v="0.3453"/>
    <n v="1273"/>
    <n v="3.47"/>
    <n v="0.2238"/>
    <s v="Online"/>
    <s v="US West"/>
    <n v="4562.1036000000004"/>
  </r>
  <r>
    <s v="J7YN6C"/>
    <x v="4"/>
    <s v="Patterned"/>
    <d v="2026-01-01T00:00:00"/>
    <n v="2024"/>
    <s v="Clearance"/>
    <n v="70"/>
    <n v="56"/>
    <n v="0.2"/>
    <x v="0"/>
    <s v="Markdown"/>
    <d v="2026-02-04T00:00:00"/>
    <n v="290"/>
    <n v="16240"/>
    <n v="37.03"/>
    <n v="0.3387"/>
    <n v="1491"/>
    <n v="5.14"/>
    <n v="0.1628"/>
    <s v="Outlet"/>
    <s v="US South"/>
    <n v="5500.4880000000003"/>
  </r>
  <r>
    <s v="7D5VMC"/>
    <x v="11"/>
    <s v="Medium Support"/>
    <d v="2026-08-01T00:00:00"/>
    <n v="2023"/>
    <s v="Clearance"/>
    <n v="75"/>
    <n v="60"/>
    <n v="0.2"/>
    <x v="0"/>
    <s v="Promo"/>
    <d v="2026-02-01T00:00:00"/>
    <n v="256"/>
    <n v="15360"/>
    <n v="33.65"/>
    <n v="0.43919999999999998"/>
    <n v="1717"/>
    <n v="6.71"/>
    <n v="0.1298"/>
    <s v="Retail"/>
    <s v="US Midwest"/>
    <n v="6746.1120000000001"/>
  </r>
  <r>
    <s v="A12AWP"/>
    <x v="9"/>
    <s v="Cushion"/>
    <d v="2026-06-01T00:00:00"/>
    <n v="2023"/>
    <s v="Core"/>
    <n v="30"/>
    <n v="30"/>
    <n v="0"/>
    <x v="1"/>
    <s v="None"/>
    <d v="2026-02-02T00:00:00"/>
    <n v="434"/>
    <n v="13020"/>
    <n v="17.43"/>
    <n v="0.41899999999999998"/>
    <n v="546"/>
    <n v="1.26"/>
    <n v="0.44290000000000002"/>
    <s v="Retail"/>
    <s v="US West"/>
    <n v="5455.38"/>
  </r>
  <r>
    <s v="VCV6IW"/>
    <x v="7"/>
    <s v="Short Sleeve"/>
    <d v="2026-12-01T00:00:00"/>
    <n v="2023"/>
    <s v="Core"/>
    <n v="35"/>
    <n v="35"/>
    <n v="0"/>
    <x v="1"/>
    <s v="None"/>
    <d v="2026-02-13T00:00:00"/>
    <n v="651"/>
    <n v="22785"/>
    <n v="15.11"/>
    <n v="0.56830000000000003"/>
    <n v="965"/>
    <n v="1.48"/>
    <n v="0.40279999999999999"/>
    <s v="Online"/>
    <s v="US South"/>
    <n v="12948.7155"/>
  </r>
  <r>
    <s v="UT70UL"/>
    <x v="6"/>
    <s v="Thermal"/>
    <d v="2026-09-01T00:00:00"/>
    <n v="2025"/>
    <s v="Clearance"/>
    <n v="150"/>
    <n v="120"/>
    <n v="0.2"/>
    <x v="0"/>
    <s v="Markdown"/>
    <d v="2026-02-03T00:00:00"/>
    <n v="316"/>
    <n v="37920"/>
    <n v="82.17"/>
    <n v="0.31519999999999998"/>
    <n v="1825"/>
    <n v="5.78"/>
    <n v="0.14760000000000001"/>
    <s v="Retail"/>
    <s v="US East"/>
    <n v="11952.384"/>
  </r>
  <r>
    <s v="4DSF8P"/>
    <x v="11"/>
    <s v="Low Support"/>
    <d v="2026-05-01T00:00:00"/>
    <n v="2025"/>
    <s v="Clearance"/>
    <n v="35"/>
    <n v="28"/>
    <n v="0.2"/>
    <x v="0"/>
    <s v="Markdown"/>
    <d v="2026-02-08T00:00:00"/>
    <n v="439"/>
    <n v="12292"/>
    <n v="16.899999999999999"/>
    <n v="0.39639999999999997"/>
    <n v="1562"/>
    <n v="3.56"/>
    <n v="0.21940000000000001"/>
    <s v="Online"/>
    <s v="US Midwest"/>
    <n v="4872.5487999999996"/>
  </r>
  <r>
    <s v="E3ZPR3"/>
    <x v="2"/>
    <s v="Low"/>
    <d v="2026-08-01T00:00:00"/>
    <n v="2023"/>
    <s v="Core"/>
    <n v="30"/>
    <n v="30"/>
    <n v="0"/>
    <x v="1"/>
    <s v="None"/>
    <d v="2026-02-13T00:00:00"/>
    <n v="647"/>
    <n v="19410"/>
    <n v="14.94"/>
    <n v="0.502"/>
    <n v="534"/>
    <n v="0.83"/>
    <n v="0.54779999999999995"/>
    <s v="Outlet"/>
    <s v="US East"/>
    <n v="9743.82"/>
  </r>
  <r>
    <s v="ADMNYA"/>
    <x v="12"/>
    <s v="Kids"/>
    <d v="2026-03-01T00:00:00"/>
    <n v="2024"/>
    <s v="Core"/>
    <n v="140"/>
    <n v="140"/>
    <n v="0"/>
    <x v="1"/>
    <s v="None"/>
    <d v="2026-02-06T00:00:00"/>
    <n v="755"/>
    <n v="105700"/>
    <n v="55.25"/>
    <n v="0.60540000000000005"/>
    <n v="404"/>
    <n v="0.54"/>
    <n v="0.65139999999999998"/>
    <s v="Outlet"/>
    <s v="US East"/>
    <n v="63990.780000000006"/>
  </r>
  <r>
    <s v="ES7RHO"/>
    <x v="1"/>
    <s v="Socks"/>
    <d v="2026-04-01T00:00:00"/>
    <n v="2024"/>
    <s v="Clearance"/>
    <n v="80"/>
    <n v="64"/>
    <n v="0.2"/>
    <x v="0"/>
    <s v="Markdown"/>
    <d v="2026-02-14T00:00:00"/>
    <n v="253"/>
    <n v="16192"/>
    <n v="46.72"/>
    <n v="0.27"/>
    <n v="1739"/>
    <n v="6.87"/>
    <n v="0.127"/>
    <s v="Online"/>
    <s v="US South"/>
    <n v="4371.84"/>
  </r>
  <r>
    <s v="6ML8UV"/>
    <x v="3"/>
    <s v="Tops"/>
    <d v="2026-05-01T00:00:00"/>
    <n v="2023"/>
    <s v="Core"/>
    <n v="25"/>
    <n v="25"/>
    <n v="0"/>
    <x v="1"/>
    <s v="None"/>
    <d v="2026-02-01T00:00:00"/>
    <n v="467"/>
    <n v="11675"/>
    <n v="12.38"/>
    <n v="0.50480000000000003"/>
    <n v="1542"/>
    <n v="3.3"/>
    <n v="0.23250000000000001"/>
    <s v="Outlet"/>
    <s v="US West"/>
    <n v="5893.54"/>
  </r>
  <r>
    <s v="30MW0T"/>
    <x v="11"/>
    <s v="Medium Support"/>
    <d v="2026-04-01T00:00:00"/>
    <n v="2025"/>
    <s v="Clearance"/>
    <n v="55"/>
    <n v="44"/>
    <n v="0.2"/>
    <x v="0"/>
    <s v="Markdown"/>
    <d v="2026-02-10T00:00:00"/>
    <n v="169"/>
    <n v="7436"/>
    <n v="29.16"/>
    <n v="0.33729999999999999"/>
    <n v="1343"/>
    <n v="7.95"/>
    <n v="0.1118"/>
    <s v="Online"/>
    <s v="US Midwest"/>
    <n v="2508.1628000000001"/>
  </r>
  <r>
    <s v="1RCGCF"/>
    <x v="5"/>
    <s v="Winter Gloves"/>
    <d v="2026-06-01T00:00:00"/>
    <n v="2023"/>
    <s v="Core"/>
    <n v="25"/>
    <n v="25"/>
    <n v="0"/>
    <x v="1"/>
    <s v="None"/>
    <d v="2026-02-15T00:00:00"/>
    <n v="733"/>
    <n v="18325"/>
    <n v="10.9"/>
    <n v="0.56399999999999995"/>
    <n v="438"/>
    <n v="0.6"/>
    <n v="0.626"/>
    <s v="Online"/>
    <s v="US West"/>
    <n v="10335.299999999999"/>
  </r>
  <r>
    <s v="H3LX1I"/>
    <x v="8"/>
    <s v="Tops"/>
    <d v="2026-12-01T00:00:00"/>
    <n v="2023"/>
    <s v="Core"/>
    <n v="80"/>
    <n v="80"/>
    <n v="0"/>
    <x v="1"/>
    <s v="None"/>
    <d v="2026-02-11T00:00:00"/>
    <n v="82"/>
    <n v="6560"/>
    <n v="38.020000000000003"/>
    <n v="0.52470000000000006"/>
    <n v="975"/>
    <n v="11.89"/>
    <n v="7.7600000000000002E-2"/>
    <s v="Outlet"/>
    <s v="US East"/>
    <n v="3442.0320000000002"/>
  </r>
  <r>
    <s v="N4SB5Z"/>
    <x v="6"/>
    <s v="Zip-Up"/>
    <d v="2026-08-01T00:00:00"/>
    <n v="2025"/>
    <s v="Clearance"/>
    <n v="60"/>
    <n v="48"/>
    <n v="0.2"/>
    <x v="0"/>
    <s v="Markdown"/>
    <d v="2026-02-15T00:00:00"/>
    <n v="306"/>
    <n v="14688"/>
    <n v="34.270000000000003"/>
    <n v="0.28599999999999998"/>
    <n v="1800"/>
    <n v="5.88"/>
    <n v="0.14530000000000001"/>
    <s v="Outlet"/>
    <s v="US Midwest"/>
    <n v="4200.768"/>
  </r>
  <r>
    <s v="R01IG5"/>
    <x v="11"/>
    <s v="High Support"/>
    <d v="2026-01-01T00:00:00"/>
    <n v="2025"/>
    <s v="Clearance"/>
    <n v="40"/>
    <n v="32"/>
    <n v="0.2"/>
    <x v="0"/>
    <s v="Markdown"/>
    <d v="2026-02-10T00:00:00"/>
    <n v="272"/>
    <n v="8704"/>
    <n v="16.010000000000002"/>
    <n v="0.49969999999999998"/>
    <n v="301"/>
    <n v="1.1100000000000001"/>
    <n v="0.47470000000000001"/>
    <s v="Outlet"/>
    <s v="US West"/>
    <n v="4349.3887999999997"/>
  </r>
  <r>
    <s v="5CNCY3"/>
    <x v="13"/>
    <s v="Socks"/>
    <d v="2026-01-01T00:00:00"/>
    <n v="2023"/>
    <s v="Core"/>
    <n v="25"/>
    <n v="25"/>
    <n v="0"/>
    <x v="1"/>
    <s v="None"/>
    <d v="2026-02-06T00:00:00"/>
    <n v="212"/>
    <n v="5300"/>
    <n v="14.73"/>
    <n v="0.4108"/>
    <n v="1123"/>
    <n v="5.3"/>
    <n v="0.1588"/>
    <s v="Outlet"/>
    <s v="US Midwest"/>
    <n v="2177.2399999999998"/>
  </r>
  <r>
    <s v="N5MNQ0"/>
    <x v="15"/>
    <s v="Caps"/>
    <d v="2026-08-01T00:00:00"/>
    <n v="2025"/>
    <s v="Core"/>
    <n v="25"/>
    <n v="25"/>
    <n v="0"/>
    <x v="1"/>
    <s v="None"/>
    <d v="2026-02-14T00:00:00"/>
    <n v="696"/>
    <n v="17400"/>
    <n v="13.75"/>
    <n v="0.45"/>
    <n v="1598"/>
    <n v="2.2999999999999998"/>
    <n v="0.3034"/>
    <s v="Outlet"/>
    <s v="US South"/>
    <n v="7830"/>
  </r>
  <r>
    <s v="5MY92N"/>
    <x v="0"/>
    <s v="Tanks"/>
    <d v="2026-12-01T00:00:00"/>
    <n v="2023"/>
    <s v="Clearance"/>
    <n v="25"/>
    <n v="20"/>
    <n v="0.2"/>
    <x v="0"/>
    <s v="Markdown"/>
    <d v="2026-02-15T00:00:00"/>
    <n v="477"/>
    <n v="9540"/>
    <n v="9.8699999999999992"/>
    <n v="0.50649999999999995"/>
    <n v="1151"/>
    <n v="2.41"/>
    <n v="0.29299999999999998"/>
    <s v="Online"/>
    <s v="US Midwest"/>
    <n v="4832.0099999999993"/>
  </r>
  <r>
    <s v="HYPRNJ"/>
    <x v="1"/>
    <s v="Socks"/>
    <d v="2026-06-01T00:00:00"/>
    <n v="2025"/>
    <s v="Core"/>
    <n v="30"/>
    <n v="30"/>
    <n v="0"/>
    <x v="1"/>
    <s v="None"/>
    <d v="2026-02-10T00:00:00"/>
    <n v="671"/>
    <n v="20130"/>
    <n v="11.94"/>
    <n v="0.60199999999999998"/>
    <n v="1504"/>
    <n v="2.2400000000000002"/>
    <n v="0.3085"/>
    <s v="Online"/>
    <s v="US West"/>
    <n v="12118.26"/>
  </r>
  <r>
    <s v="H1682J"/>
    <x v="10"/>
    <s v="Sling Bags"/>
    <d v="2026-08-01T00:00:00"/>
    <n v="2024"/>
    <s v="Clearance"/>
    <n v="140"/>
    <n v="112"/>
    <n v="0.2"/>
    <x v="0"/>
    <s v="Markdown"/>
    <d v="2026-02-12T00:00:00"/>
    <n v="590"/>
    <n v="66080"/>
    <n v="70.22"/>
    <n v="0.373"/>
    <n v="565"/>
    <n v="0.96"/>
    <n v="0.51080000000000003"/>
    <s v="Outlet"/>
    <s v="US East"/>
    <n v="24647.84"/>
  </r>
  <r>
    <s v="U3R64J"/>
    <x v="7"/>
    <s v="Long Sleeve"/>
    <d v="2026-12-01T00:00:00"/>
    <n v="2025"/>
    <s v="Core"/>
    <n v="65"/>
    <n v="65"/>
    <n v="0"/>
    <x v="1"/>
    <s v="None"/>
    <d v="2026-02-04T00:00:00"/>
    <n v="577"/>
    <n v="37505"/>
    <n v="36.409999999999997"/>
    <n v="0.43980000000000002"/>
    <n v="1295"/>
    <n v="2.2400000000000002"/>
    <n v="0.30819999999999997"/>
    <s v="Online"/>
    <s v="US Midwest"/>
    <n v="16494.699000000001"/>
  </r>
  <r>
    <s v="T1FT9B"/>
    <x v="1"/>
    <s v="Socks"/>
    <d v="2026-12-01T00:00:00"/>
    <n v="2024"/>
    <s v="Clearance"/>
    <n v="40"/>
    <n v="32"/>
    <n v="0.2"/>
    <x v="0"/>
    <s v="Markdown"/>
    <d v="2026-02-07T00:00:00"/>
    <n v="213"/>
    <n v="6816"/>
    <n v="16.68"/>
    <n v="0.4788"/>
    <n v="1967"/>
    <n v="9.23"/>
    <n v="9.7699999999999995E-2"/>
    <s v="Retail"/>
    <s v="US West"/>
    <n v="3263.5007999999998"/>
  </r>
  <r>
    <s v="EWMD10"/>
    <x v="5"/>
    <s v="Training Gloves"/>
    <d v="2026-03-01T00:00:00"/>
    <n v="2023"/>
    <s v="Core"/>
    <n v="120"/>
    <n v="120"/>
    <n v="0"/>
    <x v="1"/>
    <s v="None"/>
    <d v="2026-02-04T00:00:00"/>
    <n v="322"/>
    <n v="38640"/>
    <n v="67.13"/>
    <n v="0.44059999999999999"/>
    <n v="734"/>
    <n v="2.2799999999999998"/>
    <n v="0.3049"/>
    <s v="Retail"/>
    <s v="US South"/>
    <n v="17024.784"/>
  </r>
  <r>
    <s v="HJ5U2F"/>
    <x v="9"/>
    <s v="Stability"/>
    <d v="2026-05-01T00:00:00"/>
    <n v="2025"/>
    <s v="Core"/>
    <n v="65"/>
    <n v="65"/>
    <n v="0"/>
    <x v="1"/>
    <s v="None"/>
    <d v="2026-02-12T00:00:00"/>
    <n v="105"/>
    <n v="6825"/>
    <n v="33.06"/>
    <n v="0.4914"/>
    <n v="1513"/>
    <n v="14.41"/>
    <n v="6.4899999999999999E-2"/>
    <s v="Outlet"/>
    <s v="US East"/>
    <n v="3353.8049999999998"/>
  </r>
  <r>
    <s v="BGH8KN"/>
    <x v="8"/>
    <s v="Bottoms"/>
    <d v="2026-08-01T00:00:00"/>
    <n v="2025"/>
    <s v="Clearance"/>
    <n v="40"/>
    <n v="32"/>
    <n v="0.2"/>
    <x v="0"/>
    <s v="Markdown"/>
    <d v="2026-02-05T00:00:00"/>
    <n v="547"/>
    <n v="17504"/>
    <n v="20.71"/>
    <n v="0.3528"/>
    <n v="1459"/>
    <n v="2.67"/>
    <n v="0.2727"/>
    <s v="Outlet"/>
    <s v="US West"/>
    <n v="6175.4112000000005"/>
  </r>
  <r>
    <s v="38ENL8"/>
    <x v="4"/>
    <s v="High-Rise"/>
    <d v="2026-06-01T00:00:00"/>
    <n v="2023"/>
    <s v="Clearance"/>
    <n v="120"/>
    <n v="96"/>
    <n v="0.2"/>
    <x v="0"/>
    <s v="Promo"/>
    <d v="2026-02-04T00:00:00"/>
    <n v="144"/>
    <n v="13824"/>
    <n v="53.4"/>
    <n v="0.44379999999999997"/>
    <n v="557"/>
    <n v="3.87"/>
    <n v="0.2054"/>
    <s v="Outlet"/>
    <s v="US West"/>
    <n v="6135.0911999999998"/>
  </r>
  <r>
    <s v="J5EJUV"/>
    <x v="10"/>
    <s v="Duffels"/>
    <d v="2026-01-01T00:00:00"/>
    <n v="2025"/>
    <s v="Core"/>
    <n v="55"/>
    <n v="55"/>
    <n v="0"/>
    <x v="1"/>
    <s v="None"/>
    <d v="2026-02-12T00:00:00"/>
    <n v="758"/>
    <n v="41690"/>
    <n v="20.22"/>
    <n v="0.63239999999999996"/>
    <n v="1413"/>
    <n v="1.86"/>
    <n v="0.34910000000000002"/>
    <s v="Online"/>
    <s v="US South"/>
    <n v="26364.755999999998"/>
  </r>
  <r>
    <s v="NVCK59"/>
    <x v="13"/>
    <s v="Headbands"/>
    <d v="2026-01-01T00:00:00"/>
    <n v="2024"/>
    <s v="Clearance"/>
    <n v="60"/>
    <n v="48"/>
    <n v="0.2"/>
    <x v="0"/>
    <s v="Promo"/>
    <d v="2026-02-14T00:00:00"/>
    <n v="118"/>
    <n v="5664"/>
    <n v="24.23"/>
    <n v="0.49519999999999997"/>
    <n v="846"/>
    <n v="7.17"/>
    <n v="0.12239999999999999"/>
    <s v="Online"/>
    <s v="US East"/>
    <n v="2804.8127999999997"/>
  </r>
  <r>
    <s v="PJQJUK"/>
    <x v="9"/>
    <s v="Neutral"/>
    <d v="2026-08-01T00:00:00"/>
    <n v="2024"/>
    <s v="Core"/>
    <n v="35"/>
    <n v="35"/>
    <n v="0"/>
    <x v="1"/>
    <s v="None"/>
    <d v="2026-02-09T00:00:00"/>
    <n v="673"/>
    <n v="23555"/>
    <n v="19.399999999999999"/>
    <n v="0.44569999999999999"/>
    <n v="784"/>
    <n v="1.1599999999999999"/>
    <n v="0.46189999999999998"/>
    <s v="Retail"/>
    <s v="US West"/>
    <n v="10498.4635"/>
  </r>
  <r>
    <s v="VKJR4N"/>
    <x v="12"/>
    <s v="Women’s"/>
    <d v="2026-04-01T00:00:00"/>
    <n v="2024"/>
    <s v="Core"/>
    <n v="30"/>
    <n v="30"/>
    <n v="0"/>
    <x v="1"/>
    <s v="None"/>
    <d v="2026-02-02T00:00:00"/>
    <n v="570"/>
    <n v="17100"/>
    <n v="14.19"/>
    <n v="0.52700000000000002"/>
    <n v="1101"/>
    <n v="1.93"/>
    <n v="0.34110000000000001"/>
    <s v="Retail"/>
    <s v="US Midwest"/>
    <n v="9011.7000000000007"/>
  </r>
  <r>
    <s v="R9KO30"/>
    <x v="8"/>
    <s v="Tops"/>
    <d v="2026-06-01T00:00:00"/>
    <n v="2023"/>
    <s v="Core"/>
    <n v="30"/>
    <n v="30"/>
    <n v="0"/>
    <x v="1"/>
    <s v="None"/>
    <d v="2026-02-14T00:00:00"/>
    <n v="589"/>
    <n v="17670"/>
    <n v="12.6"/>
    <n v="0.57999999999999996"/>
    <n v="768"/>
    <n v="1.3"/>
    <n v="0.434"/>
    <s v="Retail"/>
    <s v="US East"/>
    <n v="10248.599999999999"/>
  </r>
  <r>
    <s v="XW3M1M"/>
    <x v="13"/>
    <s v="Gloves"/>
    <d v="2026-12-01T00:00:00"/>
    <n v="2025"/>
    <s v="Clearance"/>
    <n v="35"/>
    <n v="28"/>
    <n v="0.2"/>
    <x v="0"/>
    <s v="Markdown"/>
    <d v="2026-02-14T00:00:00"/>
    <n v="717"/>
    <n v="20076"/>
    <n v="19.14"/>
    <n v="0.31640000000000001"/>
    <n v="1988"/>
    <n v="2.77"/>
    <n v="0.2651"/>
    <s v="Outlet"/>
    <s v="US West"/>
    <n v="6352.0464000000002"/>
  </r>
  <r>
    <s v="DWN9EO"/>
    <x v="5"/>
    <s v="Lifting Gloves"/>
    <d v="2026-06-01T00:00:00"/>
    <n v="2025"/>
    <s v="Core"/>
    <n v="25"/>
    <n v="25"/>
    <n v="0"/>
    <x v="1"/>
    <s v="None"/>
    <d v="2026-02-02T00:00:00"/>
    <n v="203"/>
    <n v="5075"/>
    <n v="14.8"/>
    <n v="0.40799999999999997"/>
    <n v="1378"/>
    <n v="6.79"/>
    <n v="0.12839999999999999"/>
    <s v="Online"/>
    <s v="US East"/>
    <n v="2070.6"/>
  </r>
  <r>
    <s v="SQDFGR"/>
    <x v="0"/>
    <s v="Tanks"/>
    <d v="2026-04-01T00:00:00"/>
    <n v="2025"/>
    <s v="Core"/>
    <n v="65"/>
    <n v="65"/>
    <n v="0"/>
    <x v="1"/>
    <s v="None"/>
    <d v="2026-02-10T00:00:00"/>
    <n v="400"/>
    <n v="26000"/>
    <n v="26.98"/>
    <n v="0.58489999999999998"/>
    <n v="1293"/>
    <n v="3.23"/>
    <n v="0.23630000000000001"/>
    <s v="Retail"/>
    <s v="US Midwest"/>
    <n v="15207.4"/>
  </r>
  <r>
    <s v="V3Y0P9"/>
    <x v="6"/>
    <s v="Zip-Up"/>
    <d v="2026-03-01T00:00:00"/>
    <n v="2023"/>
    <s v="Core"/>
    <n v="75"/>
    <n v="75"/>
    <n v="0"/>
    <x v="1"/>
    <s v="None"/>
    <d v="2026-02-10T00:00:00"/>
    <n v="322"/>
    <n v="24150"/>
    <n v="27"/>
    <n v="0.64"/>
    <n v="1867"/>
    <n v="5.8"/>
    <n v="0.14710000000000001"/>
    <s v="Online"/>
    <s v="US South"/>
    <n v="15456"/>
  </r>
  <r>
    <s v="R7NANT"/>
    <x v="15"/>
    <s v="Beanies"/>
    <d v="2026-01-01T00:00:00"/>
    <n v="2024"/>
    <s v="Clearance"/>
    <n v="25"/>
    <n v="20"/>
    <n v="0.2"/>
    <x v="0"/>
    <s v="Promo"/>
    <d v="2026-02-11T00:00:00"/>
    <n v="446"/>
    <n v="8920"/>
    <n v="9.66"/>
    <n v="0.51700000000000002"/>
    <n v="858"/>
    <n v="1.92"/>
    <n v="0.34200000000000003"/>
    <s v="Retail"/>
    <s v="US West"/>
    <n v="4611.6400000000003"/>
  </r>
  <r>
    <s v="GDGJIC"/>
    <x v="13"/>
    <s v="Gloves"/>
    <d v="2026-05-01T00:00:00"/>
    <n v="2023"/>
    <s v="Clearance"/>
    <n v="40"/>
    <n v="32"/>
    <n v="0.2"/>
    <x v="0"/>
    <s v="Promo"/>
    <d v="2026-02-08T00:00:00"/>
    <n v="755"/>
    <n v="24160"/>
    <n v="15.15"/>
    <n v="0.52659999999999996"/>
    <n v="1224"/>
    <n v="1.62"/>
    <n v="0.38150000000000001"/>
    <s v="Online"/>
    <s v="US Midwest"/>
    <n v="12722.655999999999"/>
  </r>
  <r>
    <s v="TFAKAN"/>
    <x v="8"/>
    <s v="Tops"/>
    <d v="2026-01-01T00:00:00"/>
    <n v="2025"/>
    <s v="Core"/>
    <n v="40"/>
    <n v="40"/>
    <n v="0"/>
    <x v="1"/>
    <s v="None"/>
    <d v="2026-02-01T00:00:00"/>
    <n v="244"/>
    <n v="9760"/>
    <n v="19.649999999999999"/>
    <n v="0.50880000000000003"/>
    <n v="1976"/>
    <n v="8.1"/>
    <n v="0.1099"/>
    <s v="Retail"/>
    <s v="US Midwest"/>
    <n v="4965.8879999999999"/>
  </r>
  <r>
    <s v="EJ9JQ2"/>
    <x v="1"/>
    <s v="Underwear"/>
    <d v="2026-12-01T00:00:00"/>
    <n v="2023"/>
    <s v="Clearance"/>
    <n v="55"/>
    <n v="44"/>
    <n v="0.2"/>
    <x v="0"/>
    <s v="Markdown"/>
    <d v="2026-02-05T00:00:00"/>
    <n v="787"/>
    <n v="34628"/>
    <n v="29.78"/>
    <n v="0.32319999999999999"/>
    <n v="338"/>
    <n v="0.43"/>
    <n v="0.6996"/>
    <s v="Retail"/>
    <s v="US West"/>
    <n v="11191.7696"/>
  </r>
  <r>
    <s v="E3JMZ0"/>
    <x v="14"/>
    <s v="Windbreakers"/>
    <d v="2026-04-01T00:00:00"/>
    <n v="2023"/>
    <s v="Clearance"/>
    <n v="80"/>
    <n v="64"/>
    <n v="0.2"/>
    <x v="0"/>
    <s v="Promo"/>
    <d v="2026-02-12T00:00:00"/>
    <n v="543"/>
    <n v="34752"/>
    <n v="32.72"/>
    <n v="0.48880000000000001"/>
    <n v="542"/>
    <n v="1"/>
    <n v="0.50049999999999994"/>
    <s v="Online"/>
    <s v="US East"/>
    <n v="16986.777600000001"/>
  </r>
  <r>
    <s v="7LWXR6"/>
    <x v="7"/>
    <s v="Long Sleeve"/>
    <d v="2026-06-01T00:00:00"/>
    <n v="2024"/>
    <s v="Core"/>
    <n v="70"/>
    <n v="70"/>
    <n v="0"/>
    <x v="1"/>
    <s v="None"/>
    <d v="2026-02-02T00:00:00"/>
    <n v="612"/>
    <n v="42840"/>
    <n v="35.17"/>
    <n v="0.49759999999999999"/>
    <n v="1301"/>
    <n v="2.13"/>
    <n v="0.31990000000000002"/>
    <s v="Online"/>
    <s v="US South"/>
    <n v="21317.184000000001"/>
  </r>
  <r>
    <s v="N0G4KX"/>
    <x v="4"/>
    <s v="Compression"/>
    <d v="2026-09-01T00:00:00"/>
    <n v="2024"/>
    <s v="Core"/>
    <n v="35"/>
    <n v="35"/>
    <n v="0"/>
    <x v="1"/>
    <s v="None"/>
    <d v="2026-02-10T00:00:00"/>
    <n v="321"/>
    <n v="11235"/>
    <n v="20.5"/>
    <n v="0.4143"/>
    <n v="993"/>
    <n v="3.09"/>
    <n v="0.24429999999999999"/>
    <s v="Retail"/>
    <s v="US South"/>
    <n v="4654.6605"/>
  </r>
  <r>
    <s v="QZE364"/>
    <x v="3"/>
    <s v="Hoodies"/>
    <d v="2026-04-01T00:00:00"/>
    <n v="2024"/>
    <s v="Core"/>
    <n v="30"/>
    <n v="30"/>
    <n v="0"/>
    <x v="1"/>
    <s v="None"/>
    <d v="2026-02-13T00:00:00"/>
    <n v="576"/>
    <n v="17280"/>
    <n v="16.07"/>
    <n v="0.46429999999999999"/>
    <n v="1829"/>
    <n v="3.18"/>
    <n v="0.23949999999999999"/>
    <s v="Online"/>
    <s v="US Midwest"/>
    <n v="8023.1040000000003"/>
  </r>
  <r>
    <s v="KSLW0Q"/>
    <x v="13"/>
    <s v="Socks"/>
    <d v="2026-04-01T00:00:00"/>
    <n v="2024"/>
    <s v="Clearance"/>
    <n v="30"/>
    <n v="24"/>
    <n v="0.2"/>
    <x v="0"/>
    <s v="Promo"/>
    <d v="2026-02-05T00:00:00"/>
    <n v="521"/>
    <n v="12504"/>
    <n v="16"/>
    <n v="0.33329999999999999"/>
    <n v="1231"/>
    <n v="2.36"/>
    <n v="0.2974"/>
    <s v="Online"/>
    <s v="US South"/>
    <n v="4167.5832"/>
  </r>
  <r>
    <s v="50CFYQ"/>
    <x v="3"/>
    <s v="Bottoms"/>
    <d v="2026-06-01T00:00:00"/>
    <n v="2025"/>
    <s v="Core"/>
    <n v="50"/>
    <n v="50"/>
    <n v="0"/>
    <x v="1"/>
    <s v="None"/>
    <d v="2026-02-08T00:00:00"/>
    <n v="427"/>
    <n v="21350"/>
    <n v="21.74"/>
    <n v="0.56520000000000004"/>
    <n v="1637"/>
    <n v="3.83"/>
    <n v="0.2069"/>
    <s v="Online"/>
    <s v="US West"/>
    <n v="12067.02"/>
  </r>
  <r>
    <s v="C7ASQP"/>
    <x v="4"/>
    <s v="Patterned"/>
    <d v="2026-08-01T00:00:00"/>
    <n v="2023"/>
    <s v="Clearance"/>
    <n v="150"/>
    <n v="120"/>
    <n v="0.2"/>
    <x v="0"/>
    <s v="Markdown"/>
    <d v="2026-02-10T00:00:00"/>
    <n v="742"/>
    <n v="89040"/>
    <n v="87.55"/>
    <n v="0.27039999999999997"/>
    <n v="1774"/>
    <n v="2.39"/>
    <n v="0.2949"/>
    <s v="Online"/>
    <s v="US South"/>
    <n v="24076.415999999997"/>
  </r>
  <r>
    <s v="T1MY1R"/>
    <x v="8"/>
    <s v="Tops"/>
    <d v="2026-05-01T00:00:00"/>
    <n v="2024"/>
    <s v="Core"/>
    <n v="25"/>
    <n v="25"/>
    <n v="0"/>
    <x v="1"/>
    <s v="None"/>
    <d v="2026-02-06T00:00:00"/>
    <n v="155"/>
    <n v="3875"/>
    <n v="8.84"/>
    <n v="0.64639999999999997"/>
    <n v="1976"/>
    <n v="12.75"/>
    <n v="7.2700000000000001E-2"/>
    <s v="Online"/>
    <s v="US South"/>
    <n v="2504.7999999999997"/>
  </r>
  <r>
    <s v="KKP0KL"/>
    <x v="13"/>
    <s v="Gloves"/>
    <d v="2026-04-01T00:00:00"/>
    <n v="2025"/>
    <s v="Clearance"/>
    <n v="50"/>
    <n v="40"/>
    <n v="0.2"/>
    <x v="0"/>
    <s v="Markdown"/>
    <d v="2026-02-05T00:00:00"/>
    <n v="754"/>
    <n v="30160"/>
    <n v="29.39"/>
    <n v="0.26519999999999999"/>
    <n v="487"/>
    <n v="0.65"/>
    <n v="0.60760000000000003"/>
    <s v="Outlet"/>
    <s v="US West"/>
    <n v="7998.4319999999998"/>
  </r>
  <r>
    <s v="FFMJ5W"/>
    <x v="5"/>
    <s v="Winter Gloves"/>
    <d v="2026-09-01T00:00:00"/>
    <n v="2024"/>
    <s v="Clearance"/>
    <n v="80"/>
    <n v="64"/>
    <n v="0.2"/>
    <x v="0"/>
    <s v="Markdown"/>
    <d v="2026-02-02T00:00:00"/>
    <n v="313"/>
    <n v="20032"/>
    <n v="41.27"/>
    <n v="0.35520000000000002"/>
    <n v="707"/>
    <n v="2.2599999999999998"/>
    <n v="0.30690000000000001"/>
    <s v="Outlet"/>
    <s v="US South"/>
    <n v="7115.3663999999999"/>
  </r>
  <r>
    <s v="FH1I16"/>
    <x v="0"/>
    <s v="Joggers"/>
    <d v="2026-12-01T00:00:00"/>
    <n v="2024"/>
    <s v="Core"/>
    <n v="50"/>
    <n v="50"/>
    <n v="0"/>
    <x v="1"/>
    <s v="None"/>
    <d v="2026-02-03T00:00:00"/>
    <n v="769"/>
    <n v="38450"/>
    <n v="20.75"/>
    <n v="0.58499999999999996"/>
    <n v="1382"/>
    <n v="1.8"/>
    <n v="0.35749999999999998"/>
    <s v="Retail"/>
    <s v="US East"/>
    <n v="22493.25"/>
  </r>
  <r>
    <s v="6SNXMH"/>
    <x v="8"/>
    <s v="Bottoms"/>
    <d v="2026-06-01T00:00:00"/>
    <n v="2024"/>
    <s v="Clearance"/>
    <n v="60"/>
    <n v="48"/>
    <n v="0.2"/>
    <x v="0"/>
    <s v="Markdown"/>
    <d v="2026-02-04T00:00:00"/>
    <n v="595"/>
    <n v="28560"/>
    <n v="34.86"/>
    <n v="0.2737"/>
    <n v="1868"/>
    <n v="3.14"/>
    <n v="0.24160000000000001"/>
    <s v="Outlet"/>
    <s v="US East"/>
    <n v="7816.8720000000003"/>
  </r>
  <r>
    <s v="ZWIOBO"/>
    <x v="4"/>
    <s v="Compression"/>
    <d v="2026-04-01T00:00:00"/>
    <n v="2024"/>
    <s v="Clearance"/>
    <n v="150"/>
    <n v="120"/>
    <n v="0.2"/>
    <x v="0"/>
    <s v="Promo"/>
    <d v="2026-02-12T00:00:00"/>
    <n v="464"/>
    <n v="55680"/>
    <n v="70.73"/>
    <n v="0.41060000000000002"/>
    <n v="552"/>
    <n v="1.19"/>
    <n v="0.45669999999999999"/>
    <s v="Outlet"/>
    <s v="US East"/>
    <n v="22862.208000000002"/>
  </r>
  <r>
    <s v="ADJK8I"/>
    <x v="12"/>
    <s v="Kids"/>
    <d v="2026-06-01T00:00:00"/>
    <n v="2025"/>
    <s v="Core"/>
    <n v="55"/>
    <n v="55"/>
    <n v="0"/>
    <x v="1"/>
    <s v="None"/>
    <d v="2026-02-13T00:00:00"/>
    <n v="447"/>
    <n v="24585"/>
    <n v="27.89"/>
    <n v="0.4929"/>
    <n v="306"/>
    <n v="0.68"/>
    <n v="0.59360000000000002"/>
    <s v="Online"/>
    <s v="US South"/>
    <n v="12117.9465"/>
  </r>
  <r>
    <s v="98OJ3S"/>
    <x v="4"/>
    <s v="High-Rise"/>
    <d v="2026-05-01T00:00:00"/>
    <n v="2024"/>
    <s v="Core"/>
    <n v="70"/>
    <n v="70"/>
    <n v="0"/>
    <x v="1"/>
    <s v="None"/>
    <d v="2026-02-14T00:00:00"/>
    <n v="483"/>
    <n v="33810"/>
    <n v="38.04"/>
    <n v="0.45660000000000001"/>
    <n v="348"/>
    <n v="0.72"/>
    <n v="0.58120000000000005"/>
    <s v="Outlet"/>
    <s v="US East"/>
    <n v="15437.646000000001"/>
  </r>
  <r>
    <s v="J6SZKW"/>
    <x v="11"/>
    <s v="Medium Support"/>
    <d v="2026-03-01T00:00:00"/>
    <n v="2025"/>
    <s v="Clearance"/>
    <n v="65"/>
    <n v="52"/>
    <n v="0.2"/>
    <x v="0"/>
    <s v="Markdown"/>
    <d v="2026-02-10T00:00:00"/>
    <n v="621"/>
    <n v="32292"/>
    <n v="23.24"/>
    <n v="0.55310000000000004"/>
    <n v="941"/>
    <n v="1.52"/>
    <n v="0.39760000000000001"/>
    <s v="Retail"/>
    <s v="US West"/>
    <n v="17860.7052"/>
  </r>
  <r>
    <s v="GVKCI6"/>
    <x v="13"/>
    <s v="Socks"/>
    <d v="2026-04-01T00:00:00"/>
    <n v="2024"/>
    <s v="Clearance"/>
    <n v="50"/>
    <n v="40"/>
    <n v="0.2"/>
    <x v="0"/>
    <s v="Markdown"/>
    <d v="2026-02-09T00:00:00"/>
    <n v="202"/>
    <n v="8080"/>
    <n v="28.73"/>
    <n v="0.28179999999999999"/>
    <n v="1160"/>
    <n v="5.74"/>
    <n v="0.14829999999999999"/>
    <s v="Retail"/>
    <s v="US Midwest"/>
    <n v="2276.944"/>
  </r>
  <r>
    <s v="H82YT3"/>
    <x v="10"/>
    <s v="Sling Bags"/>
    <d v="2026-09-01T00:00:00"/>
    <n v="2025"/>
    <s v="Core"/>
    <n v="80"/>
    <n v="80"/>
    <n v="0"/>
    <x v="1"/>
    <s v="None"/>
    <d v="2026-02-01T00:00:00"/>
    <n v="172"/>
    <n v="13760"/>
    <n v="36.49"/>
    <n v="0.54390000000000005"/>
    <n v="1072"/>
    <n v="6.23"/>
    <n v="0.13830000000000001"/>
    <s v="Online"/>
    <s v="US East"/>
    <n v="7484.0640000000003"/>
  </r>
  <r>
    <s v="T6K619"/>
    <x v="4"/>
    <s v="Compression"/>
    <d v="2026-05-01T00:00:00"/>
    <n v="2025"/>
    <s v="Core"/>
    <n v="150"/>
    <n v="150"/>
    <n v="0"/>
    <x v="1"/>
    <s v="None"/>
    <d v="2026-02-13T00:00:00"/>
    <n v="312"/>
    <n v="46800"/>
    <n v="84.33"/>
    <n v="0.43780000000000002"/>
    <n v="1625"/>
    <n v="5.21"/>
    <n v="0.16109999999999999"/>
    <s v="Outlet"/>
    <s v="US South"/>
    <n v="20489.04"/>
  </r>
  <r>
    <s v="OS93YR"/>
    <x v="9"/>
    <s v="Cushion"/>
    <d v="2026-08-01T00:00:00"/>
    <n v="2023"/>
    <s v="Core"/>
    <n v="140"/>
    <n v="140"/>
    <n v="0"/>
    <x v="1"/>
    <s v="None"/>
    <d v="2026-02-13T00:00:00"/>
    <n v="282"/>
    <n v="39480"/>
    <n v="82.52"/>
    <n v="0.41060000000000002"/>
    <n v="1059"/>
    <n v="3.76"/>
    <n v="0.21029999999999999"/>
    <s v="Online"/>
    <s v="US South"/>
    <n v="16210.488000000001"/>
  </r>
  <r>
    <s v="ZEAGFU"/>
    <x v="15"/>
    <s v="Caps"/>
    <d v="2026-12-01T00:00:00"/>
    <n v="2024"/>
    <s v="Core"/>
    <n v="30"/>
    <n v="30"/>
    <n v="0"/>
    <x v="1"/>
    <s v="None"/>
    <d v="2026-02-06T00:00:00"/>
    <n v="93"/>
    <n v="2790"/>
    <n v="15.03"/>
    <n v="0.499"/>
    <n v="366"/>
    <n v="3.94"/>
    <n v="0.2026"/>
    <s v="Online"/>
    <s v="US South"/>
    <n v="1392.21"/>
  </r>
  <r>
    <s v="HRKIND"/>
    <x v="13"/>
    <s v="Hats"/>
    <d v="2026-03-01T00:00:00"/>
    <n v="2024"/>
    <s v="Clearance"/>
    <n v="70"/>
    <n v="56"/>
    <n v="0.2"/>
    <x v="0"/>
    <s v="Promo"/>
    <d v="2026-02-08T00:00:00"/>
    <n v="403"/>
    <n v="22568"/>
    <n v="36.01"/>
    <n v="0.35699999999999998"/>
    <n v="1122"/>
    <n v="2.78"/>
    <n v="0.26429999999999998"/>
    <s v="Online"/>
    <s v="US East"/>
    <n v="8056.7759999999998"/>
  </r>
  <r>
    <s v="0CMIMF"/>
    <x v="1"/>
    <s v="Underwear"/>
    <d v="2026-01-01T00:00:00"/>
    <n v="2025"/>
    <s v="Clearance"/>
    <n v="140"/>
    <n v="112"/>
    <n v="0.2"/>
    <x v="0"/>
    <s v="Markdown"/>
    <d v="2026-02-08T00:00:00"/>
    <n v="548"/>
    <n v="61376"/>
    <n v="67.680000000000007"/>
    <n v="0.3957"/>
    <n v="1535"/>
    <n v="2.8"/>
    <n v="0.2631"/>
    <s v="Online"/>
    <s v="US South"/>
    <n v="24286.483199999999"/>
  </r>
  <r>
    <s v="SQWKIT"/>
    <x v="3"/>
    <s v="Bottoms"/>
    <d v="2026-04-01T00:00:00"/>
    <n v="2024"/>
    <s v="Clearance"/>
    <n v="45"/>
    <n v="36"/>
    <n v="0.2"/>
    <x v="0"/>
    <s v="Markdown"/>
    <d v="2026-02-12T00:00:00"/>
    <n v="295"/>
    <n v="10620"/>
    <n v="18.329999999999998"/>
    <n v="0.49080000000000001"/>
    <n v="1847"/>
    <n v="6.26"/>
    <n v="0.13769999999999999"/>
    <s v="Online"/>
    <s v="US West"/>
    <n v="5212.2960000000003"/>
  </r>
  <r>
    <s v="Z09BJ6"/>
    <x v="13"/>
    <s v="Headbands"/>
    <d v="2026-12-01T00:00:00"/>
    <n v="2023"/>
    <s v="Core"/>
    <n v="120"/>
    <n v="120"/>
    <n v="0"/>
    <x v="1"/>
    <s v="None"/>
    <d v="2026-02-05T00:00:00"/>
    <n v="659"/>
    <n v="79080"/>
    <n v="55.2"/>
    <n v="0.54"/>
    <n v="1936"/>
    <n v="2.94"/>
    <n v="0.25390000000000001"/>
    <s v="Online"/>
    <s v="US East"/>
    <n v="42703.200000000004"/>
  </r>
  <r>
    <s v="19K5IS"/>
    <x v="4"/>
    <s v="Compression"/>
    <d v="2026-04-01T00:00:00"/>
    <n v="2025"/>
    <s v="Core"/>
    <n v="30"/>
    <n v="30"/>
    <n v="0"/>
    <x v="1"/>
    <s v="None"/>
    <d v="2026-02-08T00:00:00"/>
    <n v="759"/>
    <n v="22770"/>
    <n v="12.69"/>
    <n v="0.57699999999999996"/>
    <n v="359"/>
    <n v="0.47"/>
    <n v="0.67889999999999995"/>
    <s v="Online"/>
    <s v="US Midwest"/>
    <n v="13138.289999999999"/>
  </r>
  <r>
    <s v="SRRSC1"/>
    <x v="15"/>
    <s v="Visors"/>
    <d v="2026-03-01T00:00:00"/>
    <n v="2025"/>
    <s v="Core"/>
    <n v="70"/>
    <n v="70"/>
    <n v="0"/>
    <x v="1"/>
    <s v="None"/>
    <d v="2026-02-10T00:00:00"/>
    <n v="731"/>
    <n v="51170"/>
    <n v="36.29"/>
    <n v="0.48159999999999997"/>
    <n v="1964"/>
    <n v="2.69"/>
    <n v="0.2712"/>
    <s v="Retail"/>
    <s v="US East"/>
    <n v="24643.471999999998"/>
  </r>
  <r>
    <s v="0XW6DZ"/>
    <x v="10"/>
    <s v="Duffels"/>
    <d v="2026-05-01T00:00:00"/>
    <n v="2023"/>
    <s v="Clearance"/>
    <n v="30"/>
    <n v="24"/>
    <n v="0.2"/>
    <x v="0"/>
    <s v="Markdown"/>
    <d v="2026-02-10T00:00:00"/>
    <n v="296"/>
    <n v="7104"/>
    <n v="12.44"/>
    <n v="0.48170000000000002"/>
    <n v="468"/>
    <n v="1.58"/>
    <n v="0.38740000000000002"/>
    <s v="Outlet"/>
    <s v="US East"/>
    <n v="3421.9967999999999"/>
  </r>
  <r>
    <s v="EQ5074"/>
    <x v="1"/>
    <s v="Underwear"/>
    <d v="2026-03-01T00:00:00"/>
    <n v="2025"/>
    <s v="Clearance"/>
    <n v="150"/>
    <n v="120"/>
    <n v="0.2"/>
    <x v="0"/>
    <s v="Promo"/>
    <d v="2026-02-14T00:00:00"/>
    <n v="619"/>
    <n v="74280"/>
    <n v="88.7"/>
    <n v="0.26079999999999998"/>
    <n v="1695"/>
    <n v="2.74"/>
    <n v="0.26750000000000002"/>
    <s v="Retail"/>
    <s v="US West"/>
    <n v="19372.223999999998"/>
  </r>
  <r>
    <s v="NICSZI"/>
    <x v="13"/>
    <s v="Socks"/>
    <d v="2026-03-01T00:00:00"/>
    <n v="2024"/>
    <s v="Core"/>
    <n v="120"/>
    <n v="120"/>
    <n v="0"/>
    <x v="1"/>
    <s v="None"/>
    <d v="2026-02-03T00:00:00"/>
    <n v="721"/>
    <n v="86520"/>
    <n v="53.4"/>
    <n v="0.55500000000000005"/>
    <n v="1767"/>
    <n v="2.4500000000000002"/>
    <n v="0.2898"/>
    <s v="Online"/>
    <s v="US West"/>
    <n v="48018.600000000006"/>
  </r>
  <r>
    <s v="HVDZBN"/>
    <x v="0"/>
    <s v="Shorts"/>
    <d v="2026-12-01T00:00:00"/>
    <n v="2025"/>
    <s v="Clearance"/>
    <n v="55"/>
    <n v="44"/>
    <n v="0.2"/>
    <x v="0"/>
    <s v="Promo"/>
    <d v="2026-02-04T00:00:00"/>
    <n v="416"/>
    <n v="18304"/>
    <n v="19.54"/>
    <n v="0.55589999999999995"/>
    <n v="1807"/>
    <n v="4.34"/>
    <n v="0.18709999999999999"/>
    <s v="Retail"/>
    <s v="US Midwest"/>
    <n v="10175.193599999999"/>
  </r>
  <r>
    <s v="S2LUC5"/>
    <x v="11"/>
    <s v="High Support"/>
    <d v="2026-05-01T00:00:00"/>
    <n v="2023"/>
    <s v="Clearance"/>
    <n v="50"/>
    <n v="40"/>
    <n v="0.2"/>
    <x v="0"/>
    <s v="Promo"/>
    <d v="2026-02-14T00:00:00"/>
    <n v="90"/>
    <n v="3600"/>
    <n v="20.48"/>
    <n v="0.48799999999999999"/>
    <n v="612"/>
    <n v="6.8"/>
    <n v="0.12820000000000001"/>
    <s v="Outlet"/>
    <s v="US East"/>
    <n v="1756.8"/>
  </r>
  <r>
    <s v="P07JFG"/>
    <x v="2"/>
    <s v="High"/>
    <d v="2026-12-01T00:00:00"/>
    <n v="2024"/>
    <s v="Clearance"/>
    <n v="55"/>
    <n v="44"/>
    <n v="0.2"/>
    <x v="0"/>
    <s v="Promo"/>
    <d v="2026-02-06T00:00:00"/>
    <n v="358"/>
    <n v="15752"/>
    <n v="28.16"/>
    <n v="0.36"/>
    <n v="896"/>
    <n v="2.5"/>
    <n v="0.28549999999999998"/>
    <s v="Outlet"/>
    <s v="US West"/>
    <n v="5670.7199999999993"/>
  </r>
  <r>
    <s v="SEL23P"/>
    <x v="12"/>
    <s v="Kids"/>
    <d v="2026-12-01T00:00:00"/>
    <n v="2025"/>
    <s v="Core"/>
    <n v="55"/>
    <n v="55"/>
    <n v="0"/>
    <x v="1"/>
    <s v="None"/>
    <d v="2026-02-06T00:00:00"/>
    <n v="367"/>
    <n v="20185"/>
    <n v="21.49"/>
    <n v="0.60929999999999995"/>
    <n v="580"/>
    <n v="1.58"/>
    <n v="0.38750000000000001"/>
    <s v="Outlet"/>
    <s v="US West"/>
    <n v="12298.720499999999"/>
  </r>
  <r>
    <s v="UGE0YZ"/>
    <x v="6"/>
    <s v="Fleece"/>
    <d v="2026-01-01T00:00:00"/>
    <n v="2023"/>
    <s v="Clearance"/>
    <n v="70"/>
    <n v="56"/>
    <n v="0.2"/>
    <x v="0"/>
    <s v="Promo"/>
    <d v="2026-02-07T00:00:00"/>
    <n v="89"/>
    <n v="4984"/>
    <n v="33.42"/>
    <n v="0.4032"/>
    <n v="1120"/>
    <n v="12.58"/>
    <n v="7.3599999999999999E-2"/>
    <s v="Outlet"/>
    <s v="US Midwest"/>
    <n v="2009.5488"/>
  </r>
  <r>
    <s v="RLXYJQ"/>
    <x v="7"/>
    <s v="Short Sleeve"/>
    <d v="2026-01-01T00:00:00"/>
    <n v="2024"/>
    <s v="Core"/>
    <n v="80"/>
    <n v="80"/>
    <n v="0"/>
    <x v="1"/>
    <s v="None"/>
    <d v="2026-02-10T00:00:00"/>
    <n v="717"/>
    <n v="57360"/>
    <n v="38.57"/>
    <n v="0.51790000000000003"/>
    <n v="970"/>
    <n v="1.35"/>
    <n v="0.42499999999999999"/>
    <s v="Online"/>
    <s v="US East"/>
    <n v="29706.744000000002"/>
  </r>
  <r>
    <s v="LIK2LO"/>
    <x v="5"/>
    <s v="Training Gloves"/>
    <d v="2026-12-01T00:00:00"/>
    <n v="2024"/>
    <s v="Clearance"/>
    <n v="70"/>
    <n v="56"/>
    <n v="0.2"/>
    <x v="0"/>
    <s v="Markdown"/>
    <d v="2026-02-09T00:00:00"/>
    <n v="554"/>
    <n v="31024"/>
    <n v="35.68"/>
    <n v="0.3629"/>
    <n v="954"/>
    <n v="1.72"/>
    <n v="0.3674"/>
    <s v="Outlet"/>
    <s v="US Midwest"/>
    <n v="11258.6096"/>
  </r>
  <r>
    <s v="FLRJR9"/>
    <x v="11"/>
    <s v="Medium Support"/>
    <d v="2026-01-01T00:00:00"/>
    <n v="2023"/>
    <s v="Clearance"/>
    <n v="35"/>
    <n v="28"/>
    <n v="0.2"/>
    <x v="0"/>
    <s v="Markdown"/>
    <d v="2026-02-09T00:00:00"/>
    <n v="439"/>
    <n v="12292"/>
    <n v="13.91"/>
    <n v="0.50319999999999998"/>
    <n v="1584"/>
    <n v="3.61"/>
    <n v="0.217"/>
    <s v="Retail"/>
    <s v="US West"/>
    <n v="6185.3343999999997"/>
  </r>
  <r>
    <s v="PEVAP9"/>
    <x v="10"/>
    <s v="Sling Bags"/>
    <d v="2026-04-01T00:00:00"/>
    <n v="2023"/>
    <s v="Clearance"/>
    <n v="75"/>
    <n v="60"/>
    <n v="0.2"/>
    <x v="0"/>
    <s v="Promo"/>
    <d v="2026-02-14T00:00:00"/>
    <n v="251"/>
    <n v="15060"/>
    <n v="39.409999999999997"/>
    <n v="0.34320000000000001"/>
    <n v="738"/>
    <n v="2.94"/>
    <n v="0.25380000000000003"/>
    <s v="Outlet"/>
    <s v="US West"/>
    <n v="5168.5919999999996"/>
  </r>
  <r>
    <s v="54EJD9"/>
    <x v="0"/>
    <s v="Tanks"/>
    <d v="2026-08-01T00:00:00"/>
    <n v="2023"/>
    <s v="Core"/>
    <n v="150"/>
    <n v="150"/>
    <n v="0"/>
    <x v="1"/>
    <s v="None"/>
    <d v="2026-02-11T00:00:00"/>
    <n v="164"/>
    <n v="24600"/>
    <n v="52.61"/>
    <n v="0.64929999999999999"/>
    <n v="1983"/>
    <n v="12.09"/>
    <n v="7.6399999999999996E-2"/>
    <s v="Online"/>
    <s v="US West"/>
    <n v="15972.779999999999"/>
  </r>
  <r>
    <s v="V9XEUB"/>
    <x v="2"/>
    <s v="High"/>
    <d v="2026-03-01T00:00:00"/>
    <n v="2025"/>
    <s v="Clearance"/>
    <n v="25"/>
    <n v="20"/>
    <n v="0.2"/>
    <x v="0"/>
    <s v="Promo"/>
    <d v="2026-02-04T00:00:00"/>
    <n v="657"/>
    <n v="13140"/>
    <n v="9.73"/>
    <n v="0.51349999999999996"/>
    <n v="841"/>
    <n v="1.28"/>
    <n v="0.43859999999999999"/>
    <s v="Retail"/>
    <s v="US South"/>
    <n v="6747.38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DA9D2-DF93-4CCB-B5BC-179AA777EA1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L5" firstHeaderRow="0" firstDataRow="1" firstDataCol="1"/>
  <pivotFields count="22">
    <pivotField showAll="0"/>
    <pivotField showAll="0"/>
    <pivotField showAll="0"/>
    <pivotField numFmtId="14" showAll="0"/>
    <pivotField showAll="0"/>
    <pivotField showAll="0"/>
    <pivotField numFmtId="164" showAll="0"/>
    <pivotField numFmtId="164" showAll="0"/>
    <pivotField numFmtId="10" showAll="0"/>
    <pivotField axis="axisRow" showAll="0">
      <items count="3">
        <item x="1"/>
        <item x="0"/>
        <item t="default"/>
      </items>
    </pivotField>
    <pivotField showAll="0"/>
    <pivotField numFmtId="14" showAll="0"/>
    <pivotField dataField="1" showAll="0"/>
    <pivotField dataField="1" numFmtId="164" showAll="0"/>
    <pivotField numFmtId="164" showAll="0"/>
    <pivotField dataField="1" numFmtId="10" showAll="0"/>
    <pivotField showAll="0"/>
    <pivotField dataField="1" showAll="0"/>
    <pivotField dataField="1" numFmtId="10" showAll="0"/>
    <pivotField showAll="0"/>
    <pivotField showAll="0"/>
    <pivotField numFmtId="164" showAll="0"/>
  </pivotFields>
  <rowFields count="1">
    <field x="9"/>
  </rowFields>
  <rowItems count="3">
    <i>
      <x/>
    </i>
    <i>
      <x v="1"/>
    </i>
    <i t="grand">
      <x/>
    </i>
  </rowItems>
  <colFields count="1">
    <field x="-2"/>
  </colFields>
  <colItems count="5">
    <i>
      <x/>
    </i>
    <i i="1">
      <x v="1"/>
    </i>
    <i i="2">
      <x v="2"/>
    </i>
    <i i="3">
      <x v="3"/>
    </i>
    <i i="4">
      <x v="4"/>
    </i>
  </colItems>
  <dataFields count="5">
    <dataField name="Sum of Revenue_Week" fld="13" baseField="0" baseItem="0" numFmtId="165"/>
    <dataField name="Sum of UnitsSold_Week" fld="12" baseField="0" baseItem="0"/>
    <dataField name="Average of WeeksOfSupply" fld="17" subtotal="average" baseField="9" baseItem="0" numFmtId="2"/>
    <dataField name="Average of MarginPct" fld="15" subtotal="average" baseField="9" baseItem="0" numFmtId="10"/>
    <dataField name="Average of SellThroughPct" fld="18" subtotal="average" baseField="9" baseItem="0" numFmtId="10"/>
  </dataFields>
  <formats count="2">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45A4BD-D21C-4B75-9ECC-EB011FF9CF1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8:D41" firstHeaderRow="0" firstDataRow="1" firstDataCol="1"/>
  <pivotFields count="22">
    <pivotField showAll="0"/>
    <pivotField showAll="0"/>
    <pivotField showAll="0"/>
    <pivotField numFmtId="14" showAll="0"/>
    <pivotField showAll="0"/>
    <pivotField showAll="0"/>
    <pivotField numFmtId="164" showAll="0"/>
    <pivotField numFmtId="164" showAll="0"/>
    <pivotField numFmtId="10" showAll="0"/>
    <pivotField axis="axisRow" showAll="0">
      <items count="3">
        <item x="1"/>
        <item x="0"/>
        <item t="default"/>
      </items>
    </pivotField>
    <pivotField showAll="0"/>
    <pivotField numFmtId="14" showAll="0"/>
    <pivotField showAll="0"/>
    <pivotField dataField="1" numFmtId="164" showAll="0"/>
    <pivotField numFmtId="164" showAll="0"/>
    <pivotField dataField="1" numFmtId="10" showAll="0"/>
    <pivotField showAll="0"/>
    <pivotField showAll="0"/>
    <pivotField numFmtId="10" showAll="0"/>
    <pivotField showAll="0"/>
    <pivotField showAll="0"/>
    <pivotField numFmtId="164" showAll="0"/>
  </pivotFields>
  <rowFields count="1">
    <field x="9"/>
  </rowFields>
  <rowItems count="3">
    <i>
      <x/>
    </i>
    <i>
      <x v="1"/>
    </i>
    <i t="grand">
      <x/>
    </i>
  </rowItems>
  <colFields count="1">
    <field x="-2"/>
  </colFields>
  <colItems count="2">
    <i>
      <x/>
    </i>
    <i i="1">
      <x v="1"/>
    </i>
  </colItems>
  <dataFields count="2">
    <dataField name="Sum of Revenue_Week" fld="13" baseField="0" baseItem="0" numFmtId="165"/>
    <dataField name="Average of MarginPct" fld="15" subtotal="average" baseField="9" baseItem="0" numFmtId="10"/>
  </dataFields>
  <formats count="1">
    <format dxfId="5">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63109C-B102-4C0D-BA61-BCE67A3AD32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0:B77" firstHeaderRow="1" firstDataRow="1" firstDataCol="1"/>
  <pivotFields count="22">
    <pivotField showAll="0"/>
    <pivotField axis="axisRow" showAll="0" sortType="descending">
      <items count="17">
        <item x="13"/>
        <item x="10"/>
        <item x="2"/>
        <item x="8"/>
        <item x="5"/>
        <item x="15"/>
        <item x="6"/>
        <item x="3"/>
        <item x="7"/>
        <item x="14"/>
        <item x="9"/>
        <item x="1"/>
        <item x="11"/>
        <item x="12"/>
        <item x="0"/>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numFmtId="164" showAll="0"/>
    <pivotField numFmtId="164" showAll="0"/>
    <pivotField numFmtId="10" showAll="0"/>
    <pivotField showAll="0"/>
    <pivotField showAll="0"/>
    <pivotField numFmtId="14" showAll="0"/>
    <pivotField showAll="0"/>
    <pivotField numFmtId="164" showAll="0"/>
    <pivotField numFmtId="164" showAll="0"/>
    <pivotField numFmtId="10" showAll="0"/>
    <pivotField showAll="0"/>
    <pivotField dataField="1" showAll="0"/>
    <pivotField numFmtId="10" showAll="0"/>
    <pivotField showAll="0"/>
    <pivotField showAll="0"/>
    <pivotField numFmtId="164" showAll="0"/>
  </pivotFields>
  <rowFields count="1">
    <field x="1"/>
  </rowFields>
  <rowItems count="17">
    <i>
      <x v="7"/>
    </i>
    <i>
      <x v="12"/>
    </i>
    <i>
      <x v="6"/>
    </i>
    <i>
      <x v="3"/>
    </i>
    <i>
      <x v="10"/>
    </i>
    <i>
      <x/>
    </i>
    <i>
      <x v="4"/>
    </i>
    <i>
      <x v="11"/>
    </i>
    <i>
      <x v="14"/>
    </i>
    <i>
      <x v="1"/>
    </i>
    <i>
      <x v="5"/>
    </i>
    <i>
      <x v="8"/>
    </i>
    <i>
      <x v="15"/>
    </i>
    <i>
      <x v="2"/>
    </i>
    <i>
      <x v="13"/>
    </i>
    <i>
      <x v="9"/>
    </i>
    <i t="grand">
      <x/>
    </i>
  </rowItems>
  <colItems count="1">
    <i/>
  </colItems>
  <dataFields count="1">
    <dataField name="Average of WeeksOfSupply" fld="17" subtotal="average" baseField="1" baseItem="1" numFmtId="2"/>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B94E8-E25E-4C93-AB2A-6AAF3F418E4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6:C53" firstHeaderRow="0" firstDataRow="1" firstDataCol="1"/>
  <pivotFields count="22">
    <pivotField showAll="0"/>
    <pivotField axis="axisRow" showAll="0" sortType="descending">
      <items count="17">
        <item x="13"/>
        <item x="10"/>
        <item x="2"/>
        <item x="8"/>
        <item x="5"/>
        <item x="15"/>
        <item x="6"/>
        <item x="3"/>
        <item x="7"/>
        <item x="14"/>
        <item x="9"/>
        <item x="1"/>
        <item x="11"/>
        <item x="12"/>
        <item x="0"/>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numFmtId="164" showAll="0"/>
    <pivotField numFmtId="164" showAll="0"/>
    <pivotField numFmtId="10" showAll="0"/>
    <pivotField showAll="0"/>
    <pivotField showAll="0"/>
    <pivotField numFmtId="14" showAll="0"/>
    <pivotField showAll="0"/>
    <pivotField dataField="1" numFmtId="164" showAll="0"/>
    <pivotField numFmtId="164" showAll="0"/>
    <pivotField numFmtId="10" showAll="0"/>
    <pivotField showAll="0"/>
    <pivotField showAll="0"/>
    <pivotField dataField="1" numFmtId="10" showAll="0"/>
    <pivotField showAll="0"/>
    <pivotField showAll="0"/>
    <pivotField numFmtId="164" showAll="0"/>
  </pivotFields>
  <rowFields count="1">
    <field x="1"/>
  </rowFields>
  <rowItems count="17">
    <i>
      <x v="15"/>
    </i>
    <i>
      <x/>
    </i>
    <i>
      <x v="1"/>
    </i>
    <i>
      <x v="11"/>
    </i>
    <i>
      <x v="6"/>
    </i>
    <i>
      <x v="8"/>
    </i>
    <i>
      <x v="10"/>
    </i>
    <i>
      <x v="12"/>
    </i>
    <i>
      <x v="13"/>
    </i>
    <i>
      <x v="4"/>
    </i>
    <i>
      <x v="3"/>
    </i>
    <i>
      <x v="14"/>
    </i>
    <i>
      <x v="7"/>
    </i>
    <i>
      <x v="2"/>
    </i>
    <i>
      <x v="9"/>
    </i>
    <i>
      <x v="5"/>
    </i>
    <i t="grand">
      <x/>
    </i>
  </rowItems>
  <colFields count="1">
    <field x="-2"/>
  </colFields>
  <colItems count="2">
    <i>
      <x/>
    </i>
    <i i="1">
      <x v="1"/>
    </i>
  </colItems>
  <dataFields count="2">
    <dataField name="Sum of Revenue_Week" fld="13" baseField="0" baseItem="0" numFmtId="165"/>
    <dataField name="Average of SellThroughPct" fld="18" subtotal="average" baseField="1" baseItem="0" numFmtId="10"/>
  </dataFields>
  <formats count="1">
    <format dxfId="1">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17F7D7-3A1C-443A-8F3B-D5EBAFA2E65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30" firstHeaderRow="1" firstDataRow="1" firstDataCol="1"/>
  <pivotFields count="22">
    <pivotField showAll="0"/>
    <pivotField axis="axisRow" showAll="0" sortType="descending">
      <items count="17">
        <item x="13"/>
        <item x="10"/>
        <item x="2"/>
        <item x="8"/>
        <item x="5"/>
        <item x="15"/>
        <item x="6"/>
        <item x="3"/>
        <item x="7"/>
        <item x="14"/>
        <item x="9"/>
        <item x="1"/>
        <item x="11"/>
        <item x="12"/>
        <item x="0"/>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numFmtId="164" showAll="0"/>
    <pivotField numFmtId="164" showAll="0"/>
    <pivotField numFmtId="10" showAll="0"/>
    <pivotField showAll="0"/>
    <pivotField showAll="0"/>
    <pivotField numFmtId="14" showAll="0"/>
    <pivotField showAll="0"/>
    <pivotField dataField="1" numFmtId="164" showAll="0"/>
    <pivotField numFmtId="164" showAll="0"/>
    <pivotField numFmtId="10" showAll="0"/>
    <pivotField showAll="0"/>
    <pivotField showAll="0"/>
    <pivotField numFmtId="10" showAll="0"/>
    <pivotField showAll="0"/>
    <pivotField showAll="0"/>
    <pivotField numFmtId="164" showAll="0"/>
  </pivotFields>
  <rowFields count="1">
    <field x="1"/>
  </rowFields>
  <rowItems count="17">
    <i>
      <x v="15"/>
    </i>
    <i>
      <x/>
    </i>
    <i>
      <x v="1"/>
    </i>
    <i>
      <x v="11"/>
    </i>
    <i>
      <x v="6"/>
    </i>
    <i>
      <x v="8"/>
    </i>
    <i>
      <x v="10"/>
    </i>
    <i>
      <x v="12"/>
    </i>
    <i>
      <x v="13"/>
    </i>
    <i>
      <x v="4"/>
    </i>
    <i>
      <x v="3"/>
    </i>
    <i>
      <x v="14"/>
    </i>
    <i>
      <x v="7"/>
    </i>
    <i>
      <x v="2"/>
    </i>
    <i>
      <x v="9"/>
    </i>
    <i>
      <x v="5"/>
    </i>
    <i t="grand">
      <x/>
    </i>
  </rowItems>
  <colItems count="1">
    <i/>
  </colItems>
  <dataFields count="1">
    <dataField name="Sum of Revenue_Week" fld="13" baseField="0" baseItem="0" numFmtId="165"/>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3B3499-7DFD-423D-ACD7-6DE1BD23A6E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29" firstHeaderRow="1" firstDataRow="1" firstDataCol="1"/>
  <pivotFields count="22">
    <pivotField showAll="0"/>
    <pivotField axis="axisRow" showAll="0" sortType="descending">
      <items count="17">
        <item x="13"/>
        <item x="10"/>
        <item x="2"/>
        <item x="8"/>
        <item x="5"/>
        <item x="15"/>
        <item x="6"/>
        <item x="3"/>
        <item x="7"/>
        <item x="14"/>
        <item x="9"/>
        <item x="1"/>
        <item x="11"/>
        <item x="12"/>
        <item x="0"/>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numFmtId="164" showAll="0"/>
    <pivotField numFmtId="164" showAll="0"/>
    <pivotField numFmtId="10" showAll="0"/>
    <pivotField showAll="0"/>
    <pivotField showAll="0"/>
    <pivotField numFmtId="14" showAll="0"/>
    <pivotField showAll="0"/>
    <pivotField numFmtId="164" showAll="0"/>
    <pivotField numFmtId="164" showAll="0"/>
    <pivotField numFmtId="10" showAll="0"/>
    <pivotField showAll="0"/>
    <pivotField showAll="0"/>
    <pivotField numFmtId="10" showAll="0"/>
    <pivotField showAll="0"/>
    <pivotField showAll="0"/>
    <pivotField dataField="1" numFmtId="164" showAll="0"/>
  </pivotFields>
  <rowFields count="1">
    <field x="1"/>
  </rowFields>
  <rowItems count="17">
    <i>
      <x v="15"/>
    </i>
    <i>
      <x/>
    </i>
    <i>
      <x v="6"/>
    </i>
    <i>
      <x v="1"/>
    </i>
    <i>
      <x v="13"/>
    </i>
    <i>
      <x v="11"/>
    </i>
    <i>
      <x v="8"/>
    </i>
    <i>
      <x v="12"/>
    </i>
    <i>
      <x v="10"/>
    </i>
    <i>
      <x v="14"/>
    </i>
    <i>
      <x v="4"/>
    </i>
    <i>
      <x v="3"/>
    </i>
    <i>
      <x v="7"/>
    </i>
    <i>
      <x v="2"/>
    </i>
    <i>
      <x v="9"/>
    </i>
    <i>
      <x v="5"/>
    </i>
    <i t="grand">
      <x/>
    </i>
  </rowItems>
  <colItems count="1">
    <i/>
  </colItems>
  <dataFields count="1">
    <dataField name="Sum of GrossProfit_Week" fld="21" baseField="0" baseItem="0" numFmtId="165"/>
  </dataFields>
  <formats count="1">
    <format dxfId="2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376A4F-9B55-4218-8CCA-0CDF29A14BD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7:C54" firstHeaderRow="0" firstDataRow="1" firstDataCol="1"/>
  <pivotFields count="22">
    <pivotField showAll="0"/>
    <pivotField axis="axisRow" showAll="0" sortType="descending">
      <items count="17">
        <item x="13"/>
        <item x="10"/>
        <item x="2"/>
        <item x="8"/>
        <item x="5"/>
        <item x="15"/>
        <item x="6"/>
        <item x="3"/>
        <item x="7"/>
        <item x="14"/>
        <item x="9"/>
        <item x="1"/>
        <item x="11"/>
        <item x="12"/>
        <item x="0"/>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numFmtId="164" showAll="0"/>
    <pivotField numFmtId="164" showAll="0"/>
    <pivotField numFmtId="10" showAll="0"/>
    <pivotField showAll="0"/>
    <pivotField showAll="0"/>
    <pivotField numFmtId="14" showAll="0"/>
    <pivotField showAll="0"/>
    <pivotField numFmtId="164" showAll="0"/>
    <pivotField numFmtId="164" showAll="0"/>
    <pivotField dataField="1" numFmtId="10" showAll="0"/>
    <pivotField showAll="0"/>
    <pivotField showAll="0"/>
    <pivotField numFmtId="10" showAll="0"/>
    <pivotField showAll="0"/>
    <pivotField showAll="0"/>
    <pivotField dataField="1" numFmtId="164" showAll="0"/>
  </pivotFields>
  <rowFields count="1">
    <field x="1"/>
  </rowFields>
  <rowItems count="17">
    <i>
      <x v="15"/>
    </i>
    <i>
      <x/>
    </i>
    <i>
      <x v="6"/>
    </i>
    <i>
      <x v="1"/>
    </i>
    <i>
      <x v="13"/>
    </i>
    <i>
      <x v="11"/>
    </i>
    <i>
      <x v="8"/>
    </i>
    <i>
      <x v="12"/>
    </i>
    <i>
      <x v="10"/>
    </i>
    <i>
      <x v="14"/>
    </i>
    <i>
      <x v="4"/>
    </i>
    <i>
      <x v="3"/>
    </i>
    <i>
      <x v="7"/>
    </i>
    <i>
      <x v="2"/>
    </i>
    <i>
      <x v="9"/>
    </i>
    <i>
      <x v="5"/>
    </i>
    <i t="grand">
      <x/>
    </i>
  </rowItems>
  <colFields count="1">
    <field x="-2"/>
  </colFields>
  <colItems count="2">
    <i>
      <x/>
    </i>
    <i i="1">
      <x v="1"/>
    </i>
  </colItems>
  <dataFields count="2">
    <dataField name="Sum of GrossProfit_Week" fld="21" baseField="0" baseItem="0" numFmtId="165"/>
    <dataField name="Average of MarginPct" fld="15" subtotal="average" baseField="0" baseItem="1" numFmtId="10"/>
  </dataFields>
  <formats count="1">
    <format dxfId="25">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B04574-B619-4739-A05D-50F39E03BD1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D79" firstHeaderRow="0" firstDataRow="1" firstDataCol="1"/>
  <pivotFields count="22">
    <pivotField showAll="0"/>
    <pivotField axis="axisRow" showAll="0" sortType="descending">
      <items count="17">
        <item x="13"/>
        <item x="10"/>
        <item x="2"/>
        <item x="8"/>
        <item x="5"/>
        <item x="15"/>
        <item x="6"/>
        <item x="3"/>
        <item x="7"/>
        <item x="14"/>
        <item x="9"/>
        <item x="1"/>
        <item x="11"/>
        <item x="12"/>
        <item x="0"/>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numFmtId="164" showAll="0"/>
    <pivotField numFmtId="164" showAll="0"/>
    <pivotField numFmtId="10" showAll="0"/>
    <pivotField showAll="0"/>
    <pivotField showAll="0"/>
    <pivotField numFmtId="14" showAll="0"/>
    <pivotField showAll="0"/>
    <pivotField dataField="1" numFmtId="164" showAll="0"/>
    <pivotField numFmtId="164" showAll="0"/>
    <pivotField dataField="1" numFmtId="10" showAll="0"/>
    <pivotField showAll="0"/>
    <pivotField showAll="0"/>
    <pivotField numFmtId="10" showAll="0"/>
    <pivotField showAll="0"/>
    <pivotField showAll="0"/>
    <pivotField dataField="1" numFmtId="164" showAll="0"/>
  </pivotFields>
  <rowFields count="1">
    <field x="1"/>
  </rowFields>
  <rowItems count="17">
    <i>
      <x v="15"/>
    </i>
    <i>
      <x/>
    </i>
    <i>
      <x v="6"/>
    </i>
    <i>
      <x v="1"/>
    </i>
    <i>
      <x v="13"/>
    </i>
    <i>
      <x v="11"/>
    </i>
    <i>
      <x v="8"/>
    </i>
    <i>
      <x v="12"/>
    </i>
    <i>
      <x v="10"/>
    </i>
    <i>
      <x v="14"/>
    </i>
    <i>
      <x v="4"/>
    </i>
    <i>
      <x v="3"/>
    </i>
    <i>
      <x v="7"/>
    </i>
    <i>
      <x v="2"/>
    </i>
    <i>
      <x v="9"/>
    </i>
    <i>
      <x v="5"/>
    </i>
    <i t="grand">
      <x/>
    </i>
  </rowItems>
  <colFields count="1">
    <field x="-2"/>
  </colFields>
  <colItems count="3">
    <i>
      <x/>
    </i>
    <i i="1">
      <x v="1"/>
    </i>
    <i i="2">
      <x v="2"/>
    </i>
  </colItems>
  <dataFields count="3">
    <dataField name="Sum of GrossProfit_Week" fld="21" baseField="0" baseItem="0" numFmtId="164"/>
    <dataField name="Sum of Revenue_Week" fld="13" baseField="0" baseItem="0" numFmtId="164"/>
    <dataField name="Average of MarginPct" fld="15" subtotal="average" baseField="1" baseItem="15"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D02E86-384E-4145-85B7-5409D43F45BF}" autoFormatId="16" applyNumberFormats="0" applyBorderFormats="0" applyFontFormats="0" applyPatternFormats="0" applyAlignmentFormats="0" applyWidthHeightFormats="0">
  <queryTableRefresh nextId="23" unboundColumnsRight="1">
    <queryTableFields count="22">
      <queryTableField id="1" name="SKU" tableColumnId="1"/>
      <queryTableField id="2" name="Category" tableColumnId="2"/>
      <queryTableField id="3" name="Subcategory" tableColumnId="3"/>
      <queryTableField id="4" name="Season" tableColumnId="4"/>
      <queryTableField id="5" name="LaunchYear" tableColumnId="5"/>
      <queryTableField id="6" name="LifecycleStage" tableColumnId="6"/>
      <queryTableField id="7" name="OriginalPrice" tableColumnId="7"/>
      <queryTableField id="8" name="CurrentPrice" tableColumnId="8"/>
      <queryTableField id="9" name="MarkdownPct" tableColumnId="9"/>
      <queryTableField id="10" name="PromoFlag" tableColumnId="10"/>
      <queryTableField id="11" name="PromoType" tableColumnId="11"/>
      <queryTableField id="12" name="PriceChangeDate" tableColumnId="12"/>
      <queryTableField id="13" name="UnitsSold_Week" tableColumnId="13"/>
      <queryTableField id="14" name="Revenue_Week" tableColumnId="14"/>
      <queryTableField id="15" name="Cost" tableColumnId="15"/>
      <queryTableField id="16" name="MarginPct" tableColumnId="16"/>
      <queryTableField id="17" name="InventoryOnHand" tableColumnId="17"/>
      <queryTableField id="18" name="WeeksOfSupply" tableColumnId="18"/>
      <queryTableField id="19" name="SellThroughPct" tableColumnId="19"/>
      <queryTableField id="20" name="Channel" tableColumnId="20"/>
      <queryTableField id="21" name="Region" tableColumnId="21"/>
      <queryTableField id="22" dataBound="0"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BC430E-5D36-4EE1-B332-2D8C53CE5F6C}" name="retail_dataset_additional_200_rows" displayName="retail_dataset_additional_200_rows" ref="A1:V201" tableType="queryTable" totalsRowShown="0">
  <autoFilter ref="A1:V201" xr:uid="{40BC430E-5D36-4EE1-B332-2D8C53CE5F6C}"/>
  <tableColumns count="22">
    <tableColumn id="1" xr3:uid="{7B4879A4-A150-4F37-A132-45F4956173D6}" uniqueName="1" name="SKU" queryTableFieldId="1" dataDxfId="23"/>
    <tableColumn id="2" xr3:uid="{52C7C1AB-4BAE-48E7-8DAB-E14AC222541B}" uniqueName="2" name="Category" queryTableFieldId="2" dataDxfId="22"/>
    <tableColumn id="3" xr3:uid="{446268F5-5E04-48FC-A480-4CD6452A6FBD}" uniqueName="3" name="Subcategory" queryTableFieldId="3" dataDxfId="21"/>
    <tableColumn id="4" xr3:uid="{7D12A111-9101-4AB7-A527-761A7582B01F}" uniqueName="4" name="Season" queryTableFieldId="4" dataDxfId="20"/>
    <tableColumn id="5" xr3:uid="{F487F21D-D4C7-4E25-A981-6DC5F993E592}" uniqueName="5" name="LaunchYear" queryTableFieldId="5"/>
    <tableColumn id="6" xr3:uid="{B49180CC-9ACB-4109-9207-1B6E034ADFDE}" uniqueName="6" name="LifecycleStage" queryTableFieldId="6" dataDxfId="19"/>
    <tableColumn id="7" xr3:uid="{190F0957-792E-4B9D-886A-140345FD224C}" uniqueName="7" name="OriginalPrice" queryTableFieldId="7" dataDxfId="18"/>
    <tableColumn id="8" xr3:uid="{72E8B0FE-3BBF-45D2-82DF-06EA22E74BB7}" uniqueName="8" name="CurrentPrice" queryTableFieldId="8" dataDxfId="17"/>
    <tableColumn id="9" xr3:uid="{1C9E7070-7061-4769-B7FE-B279DCE73BD4}" uniqueName="9" name="MarkdownPct" queryTableFieldId="9" dataDxfId="16"/>
    <tableColumn id="10" xr3:uid="{01DB0DC7-F20D-43D1-9C3A-E6E5F23BF5D2}" uniqueName="10" name="PromoFlag" queryTableFieldId="10" dataDxfId="15"/>
    <tableColumn id="11" xr3:uid="{359C22AD-7D4F-4722-84B9-55C8B8136298}" uniqueName="11" name="PromoType" queryTableFieldId="11" dataDxfId="14"/>
    <tableColumn id="12" xr3:uid="{854E3EBF-9C9E-43CC-BAF9-2D9178126B70}" uniqueName="12" name="PriceChangeDate" queryTableFieldId="12" dataDxfId="13"/>
    <tableColumn id="13" xr3:uid="{FE06BD56-AD89-48CB-9709-7BD55CE67F2D}" uniqueName="13" name="UnitsSold_Week" queryTableFieldId="13"/>
    <tableColumn id="14" xr3:uid="{D9CD96B3-A5DE-4361-9868-4C205ABD5294}" uniqueName="14" name="Revenue_Week" queryTableFieldId="14" dataDxfId="12"/>
    <tableColumn id="15" xr3:uid="{4360AD30-6ED0-41A4-A9BE-E927A01679FE}" uniqueName="15" name="Cost" queryTableFieldId="15" dataDxfId="11"/>
    <tableColumn id="16" xr3:uid="{CC7BC5DD-B01D-4D7D-BE1A-8EC23FF20822}" uniqueName="16" name="MarginPct" queryTableFieldId="16" dataDxfId="10"/>
    <tableColumn id="17" xr3:uid="{FB9F4804-EF3F-47D4-BC3B-CAA6C2F6F4C8}" uniqueName="17" name="InventoryOnHand" queryTableFieldId="17"/>
    <tableColumn id="18" xr3:uid="{24E2C331-0A6F-4B04-BB72-8A1620F9E0DA}" uniqueName="18" name="WeeksOfSupply" queryTableFieldId="18"/>
    <tableColumn id="19" xr3:uid="{3B5F7D25-D57D-4CAB-B17D-C6B3A59CCD18}" uniqueName="19" name="SellThroughPct" queryTableFieldId="19" dataDxfId="9"/>
    <tableColumn id="20" xr3:uid="{81960551-1D64-4FA0-B32F-94411C3CF9F6}" uniqueName="20" name="Channel" queryTableFieldId="20" dataDxfId="8"/>
    <tableColumn id="21" xr3:uid="{ABD7A31D-3575-4C81-B627-8A682153E279}" uniqueName="21" name="Region" queryTableFieldId="21" dataDxfId="7"/>
    <tableColumn id="22" xr3:uid="{BB7AECCE-9372-4410-96A3-4FEECA915D79}" uniqueName="22" name="GrossProfit_Week" queryTableFieldId="22" dataDxfId="6">
      <calculatedColumnFormula>retail_dataset_additional_200_rows[[#This Row],[Revenue_Week]]*retail_dataset_additional_200_rows[[#This Row],[MarginPct]]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CF4F3-FE54-45E6-89A5-4BB058D22B43}">
  <dimension ref="A1:V201"/>
  <sheetViews>
    <sheetView workbookViewId="0">
      <selection activeCell="D2" sqref="D2"/>
    </sheetView>
  </sheetViews>
  <sheetFormatPr defaultRowHeight="15" x14ac:dyDescent="0.25"/>
  <cols>
    <col min="1" max="1" width="9.42578125" bestFit="1" customWidth="1"/>
    <col min="2" max="2" width="18.140625" bestFit="1" customWidth="1"/>
    <col min="3" max="3" width="15.5703125" bestFit="1" customWidth="1"/>
    <col min="4" max="4" width="9.85546875" bestFit="1" customWidth="1"/>
    <col min="5" max="5" width="13.7109375" bestFit="1" customWidth="1"/>
    <col min="6" max="6" width="16.5703125" bestFit="1" customWidth="1"/>
    <col min="7" max="8" width="14.85546875" bestFit="1" customWidth="1"/>
    <col min="9" max="9" width="15.42578125" bestFit="1" customWidth="1"/>
    <col min="10" max="10" width="12.7109375" bestFit="1" customWidth="1"/>
    <col min="11" max="11" width="13.42578125" bestFit="1" customWidth="1"/>
    <col min="12" max="12" width="19.140625" bestFit="1" customWidth="1"/>
    <col min="13" max="13" width="18.140625" bestFit="1" customWidth="1"/>
    <col min="14" max="14" width="17.42578125" bestFit="1" customWidth="1"/>
    <col min="15" max="15" width="7.5703125" bestFit="1" customWidth="1"/>
    <col min="16" max="16" width="12.140625" bestFit="1" customWidth="1"/>
    <col min="17" max="17" width="19.28515625" bestFit="1" customWidth="1"/>
    <col min="18" max="18" width="17.85546875" bestFit="1" customWidth="1"/>
    <col min="19" max="19" width="17" bestFit="1" customWidth="1"/>
    <col min="20" max="20" width="10.85546875" bestFit="1" customWidth="1"/>
    <col min="21" max="21" width="11" bestFit="1" customWidth="1"/>
    <col min="22" max="22" width="19.85546875" bestFit="1" customWidth="1"/>
  </cols>
  <sheetData>
    <row r="1" spans="1:22" x14ac:dyDescent="0.25">
      <c r="A1" t="s">
        <v>0</v>
      </c>
      <c r="B1" t="s">
        <v>1</v>
      </c>
      <c r="C1" t="s">
        <v>2</v>
      </c>
      <c r="D1" s="1" t="s">
        <v>3</v>
      </c>
      <c r="E1" t="s">
        <v>4</v>
      </c>
      <c r="F1" t="s">
        <v>5</v>
      </c>
      <c r="G1" s="3" t="s">
        <v>6</v>
      </c>
      <c r="H1" s="3" t="s">
        <v>7</v>
      </c>
      <c r="I1" s="2" t="s">
        <v>8</v>
      </c>
      <c r="J1" t="s">
        <v>9</v>
      </c>
      <c r="K1" t="s">
        <v>10</v>
      </c>
      <c r="L1" s="1" t="s">
        <v>11</v>
      </c>
      <c r="M1" t="s">
        <v>12</v>
      </c>
      <c r="N1" s="3" t="s">
        <v>13</v>
      </c>
      <c r="O1" s="3" t="s">
        <v>14</v>
      </c>
      <c r="P1" s="2" t="s">
        <v>15</v>
      </c>
      <c r="Q1" t="s">
        <v>16</v>
      </c>
      <c r="R1" t="s">
        <v>17</v>
      </c>
      <c r="S1" s="2" t="s">
        <v>18</v>
      </c>
      <c r="T1" t="s">
        <v>19</v>
      </c>
      <c r="U1" t="s">
        <v>20</v>
      </c>
      <c r="V1" s="3" t="s">
        <v>299</v>
      </c>
    </row>
    <row r="2" spans="1:22" x14ac:dyDescent="0.25">
      <c r="A2" t="s">
        <v>21</v>
      </c>
      <c r="B2" t="s">
        <v>22</v>
      </c>
      <c r="C2" t="s">
        <v>23</v>
      </c>
      <c r="D2" s="1">
        <v>46143</v>
      </c>
      <c r="E2">
        <v>2023</v>
      </c>
      <c r="F2" t="s">
        <v>24</v>
      </c>
      <c r="G2" s="3">
        <v>120</v>
      </c>
      <c r="H2" s="3">
        <v>96</v>
      </c>
      <c r="I2" s="2">
        <v>0.2</v>
      </c>
      <c r="J2" t="s">
        <v>25</v>
      </c>
      <c r="K2" t="s">
        <v>26</v>
      </c>
      <c r="L2" s="1">
        <v>46059</v>
      </c>
      <c r="M2">
        <v>490</v>
      </c>
      <c r="N2" s="3">
        <v>47040</v>
      </c>
      <c r="O2" s="3">
        <v>52</v>
      </c>
      <c r="P2" s="2">
        <v>0.45829999999999999</v>
      </c>
      <c r="Q2">
        <v>1122</v>
      </c>
      <c r="R2">
        <v>2.29</v>
      </c>
      <c r="S2" s="2">
        <v>0.30399999999999999</v>
      </c>
      <c r="T2" t="s">
        <v>27</v>
      </c>
      <c r="U2" t="s">
        <v>28</v>
      </c>
      <c r="V2" s="3">
        <f>retail_dataset_additional_200_rows[[#This Row],[Revenue_Week]]*retail_dataset_additional_200_rows[[#This Row],[MarginPct]]</f>
        <v>21558.432000000001</v>
      </c>
    </row>
    <row r="3" spans="1:22" x14ac:dyDescent="0.25">
      <c r="A3" t="s">
        <v>29</v>
      </c>
      <c r="B3" t="s">
        <v>30</v>
      </c>
      <c r="C3" t="s">
        <v>31</v>
      </c>
      <c r="D3" s="1">
        <v>46357</v>
      </c>
      <c r="E3">
        <v>2025</v>
      </c>
      <c r="F3" t="s">
        <v>32</v>
      </c>
      <c r="G3" s="3">
        <v>55</v>
      </c>
      <c r="H3" s="3">
        <v>55</v>
      </c>
      <c r="I3" s="2">
        <v>0</v>
      </c>
      <c r="J3" t="s">
        <v>33</v>
      </c>
      <c r="K3" t="s">
        <v>34</v>
      </c>
      <c r="L3" s="1">
        <v>46066</v>
      </c>
      <c r="M3">
        <v>317</v>
      </c>
      <c r="N3" s="3">
        <v>17435</v>
      </c>
      <c r="O3" s="3">
        <v>19.62</v>
      </c>
      <c r="P3" s="2">
        <v>0.64329999999999998</v>
      </c>
      <c r="Q3">
        <v>346</v>
      </c>
      <c r="R3">
        <v>1.0900000000000001</v>
      </c>
      <c r="S3" s="2">
        <v>0.47810000000000002</v>
      </c>
      <c r="T3" t="s">
        <v>27</v>
      </c>
      <c r="U3" t="s">
        <v>35</v>
      </c>
      <c r="V3" s="3">
        <f>retail_dataset_additional_200_rows[[#This Row],[Revenue_Week]]*retail_dataset_additional_200_rows[[#This Row],[MarginPct]]</f>
        <v>11215.9355</v>
      </c>
    </row>
    <row r="4" spans="1:22" x14ac:dyDescent="0.25">
      <c r="A4" t="s">
        <v>36</v>
      </c>
      <c r="B4" t="s">
        <v>37</v>
      </c>
      <c r="C4" t="s">
        <v>38</v>
      </c>
      <c r="D4" s="1">
        <v>46357</v>
      </c>
      <c r="E4">
        <v>2024</v>
      </c>
      <c r="F4" t="s">
        <v>24</v>
      </c>
      <c r="G4" s="3">
        <v>55</v>
      </c>
      <c r="H4" s="3">
        <v>44</v>
      </c>
      <c r="I4" s="2">
        <v>0.2</v>
      </c>
      <c r="J4" t="s">
        <v>25</v>
      </c>
      <c r="K4" t="s">
        <v>26</v>
      </c>
      <c r="L4" s="1">
        <v>46068</v>
      </c>
      <c r="M4">
        <v>132</v>
      </c>
      <c r="N4" s="3">
        <v>5808</v>
      </c>
      <c r="O4" s="3">
        <v>19.670000000000002</v>
      </c>
      <c r="P4" s="2">
        <v>0.55300000000000005</v>
      </c>
      <c r="Q4">
        <v>336</v>
      </c>
      <c r="R4">
        <v>2.5499999999999998</v>
      </c>
      <c r="S4" s="2">
        <v>0.28210000000000002</v>
      </c>
      <c r="T4" t="s">
        <v>39</v>
      </c>
      <c r="U4" t="s">
        <v>40</v>
      </c>
      <c r="V4" s="3">
        <f>retail_dataset_additional_200_rows[[#This Row],[Revenue_Week]]*retail_dataset_additional_200_rows[[#This Row],[MarginPct]]</f>
        <v>3211.8240000000001</v>
      </c>
    </row>
    <row r="5" spans="1:22" x14ac:dyDescent="0.25">
      <c r="A5" t="s">
        <v>41</v>
      </c>
      <c r="B5" t="s">
        <v>42</v>
      </c>
      <c r="C5" t="s">
        <v>43</v>
      </c>
      <c r="D5" s="1">
        <v>46113</v>
      </c>
      <c r="E5">
        <v>2025</v>
      </c>
      <c r="F5" t="s">
        <v>24</v>
      </c>
      <c r="G5" s="3">
        <v>120</v>
      </c>
      <c r="H5" s="3">
        <v>96</v>
      </c>
      <c r="I5" s="2">
        <v>0.2</v>
      </c>
      <c r="J5" t="s">
        <v>25</v>
      </c>
      <c r="K5" t="s">
        <v>26</v>
      </c>
      <c r="L5" s="1">
        <v>46060</v>
      </c>
      <c r="M5">
        <v>126</v>
      </c>
      <c r="N5" s="3">
        <v>12096</v>
      </c>
      <c r="O5" s="3">
        <v>44.3</v>
      </c>
      <c r="P5" s="2">
        <v>0.53849999999999998</v>
      </c>
      <c r="Q5">
        <v>1980</v>
      </c>
      <c r="R5">
        <v>15.71</v>
      </c>
      <c r="S5" s="2">
        <v>5.9799999999999999E-2</v>
      </c>
      <c r="T5" t="s">
        <v>39</v>
      </c>
      <c r="U5" t="s">
        <v>28</v>
      </c>
      <c r="V5" s="3">
        <f>retail_dataset_additional_200_rows[[#This Row],[Revenue_Week]]*retail_dataset_additional_200_rows[[#This Row],[MarginPct]]</f>
        <v>6513.6959999999999</v>
      </c>
    </row>
    <row r="6" spans="1:22" x14ac:dyDescent="0.25">
      <c r="A6" t="s">
        <v>44</v>
      </c>
      <c r="B6" t="s">
        <v>30</v>
      </c>
      <c r="C6" t="s">
        <v>31</v>
      </c>
      <c r="D6" s="1">
        <v>46357</v>
      </c>
      <c r="E6">
        <v>2024</v>
      </c>
      <c r="F6" t="s">
        <v>24</v>
      </c>
      <c r="G6" s="3">
        <v>40</v>
      </c>
      <c r="H6" s="3">
        <v>32</v>
      </c>
      <c r="I6" s="2">
        <v>0.2</v>
      </c>
      <c r="J6" t="s">
        <v>25</v>
      </c>
      <c r="K6" t="s">
        <v>45</v>
      </c>
      <c r="L6" s="1">
        <v>46067</v>
      </c>
      <c r="M6">
        <v>302</v>
      </c>
      <c r="N6" s="3">
        <v>9664</v>
      </c>
      <c r="O6" s="3">
        <v>23.21</v>
      </c>
      <c r="P6" s="2">
        <v>0.2747</v>
      </c>
      <c r="Q6">
        <v>1699</v>
      </c>
      <c r="R6">
        <v>5.63</v>
      </c>
      <c r="S6" s="2">
        <v>0.15090000000000001</v>
      </c>
      <c r="T6" t="s">
        <v>27</v>
      </c>
      <c r="U6" t="s">
        <v>35</v>
      </c>
      <c r="V6" s="3">
        <f>retail_dataset_additional_200_rows[[#This Row],[Revenue_Week]]*retail_dataset_additional_200_rows[[#This Row],[MarginPct]]</f>
        <v>2654.7008000000001</v>
      </c>
    </row>
    <row r="7" spans="1:22" x14ac:dyDescent="0.25">
      <c r="A7" t="s">
        <v>46</v>
      </c>
      <c r="B7" t="s">
        <v>47</v>
      </c>
      <c r="C7" t="s">
        <v>48</v>
      </c>
      <c r="D7" s="1">
        <v>46143</v>
      </c>
      <c r="E7">
        <v>2023</v>
      </c>
      <c r="F7" t="s">
        <v>24</v>
      </c>
      <c r="G7" s="3">
        <v>65</v>
      </c>
      <c r="H7" s="3">
        <v>52</v>
      </c>
      <c r="I7" s="2">
        <v>0.2</v>
      </c>
      <c r="J7" t="s">
        <v>25</v>
      </c>
      <c r="K7" t="s">
        <v>26</v>
      </c>
      <c r="L7" s="1">
        <v>46066</v>
      </c>
      <c r="M7">
        <v>417</v>
      </c>
      <c r="N7" s="3">
        <v>21684</v>
      </c>
      <c r="O7" s="3">
        <v>25</v>
      </c>
      <c r="P7" s="2">
        <v>0.51919999999999999</v>
      </c>
      <c r="Q7">
        <v>1798</v>
      </c>
      <c r="R7">
        <v>4.3099999999999996</v>
      </c>
      <c r="S7" s="2">
        <v>0.1883</v>
      </c>
      <c r="T7" t="s">
        <v>39</v>
      </c>
      <c r="U7" t="s">
        <v>28</v>
      </c>
      <c r="V7" s="3">
        <f>retail_dataset_additional_200_rows[[#This Row],[Revenue_Week]]*retail_dataset_additional_200_rows[[#This Row],[MarginPct]]</f>
        <v>11258.3328</v>
      </c>
    </row>
    <row r="8" spans="1:22" x14ac:dyDescent="0.25">
      <c r="A8" t="s">
        <v>49</v>
      </c>
      <c r="B8" t="s">
        <v>50</v>
      </c>
      <c r="C8" t="s">
        <v>51</v>
      </c>
      <c r="D8" s="1">
        <v>46266</v>
      </c>
      <c r="E8">
        <v>2024</v>
      </c>
      <c r="F8" t="s">
        <v>24</v>
      </c>
      <c r="G8" s="3">
        <v>40</v>
      </c>
      <c r="H8" s="3">
        <v>32</v>
      </c>
      <c r="I8" s="2">
        <v>0.2</v>
      </c>
      <c r="J8" t="s">
        <v>25</v>
      </c>
      <c r="K8" t="s">
        <v>26</v>
      </c>
      <c r="L8" s="1">
        <v>46061</v>
      </c>
      <c r="M8">
        <v>187</v>
      </c>
      <c r="N8" s="3">
        <v>5984</v>
      </c>
      <c r="O8" s="3">
        <v>16.12</v>
      </c>
      <c r="P8" s="2">
        <v>0.49619999999999997</v>
      </c>
      <c r="Q8">
        <v>1269</v>
      </c>
      <c r="R8">
        <v>6.79</v>
      </c>
      <c r="S8" s="2">
        <v>0.12839999999999999</v>
      </c>
      <c r="T8" t="s">
        <v>52</v>
      </c>
      <c r="U8" t="s">
        <v>40</v>
      </c>
      <c r="V8" s="3">
        <f>retail_dataset_additional_200_rows[[#This Row],[Revenue_Week]]*retail_dataset_additional_200_rows[[#This Row],[MarginPct]]</f>
        <v>2969.2608</v>
      </c>
    </row>
    <row r="9" spans="1:22" x14ac:dyDescent="0.25">
      <c r="A9" t="s">
        <v>53</v>
      </c>
      <c r="B9" t="s">
        <v>43</v>
      </c>
      <c r="C9" t="s">
        <v>54</v>
      </c>
      <c r="D9" s="1">
        <v>46113</v>
      </c>
      <c r="E9">
        <v>2025</v>
      </c>
      <c r="F9" t="s">
        <v>32</v>
      </c>
      <c r="G9" s="3">
        <v>75</v>
      </c>
      <c r="H9" s="3">
        <v>75</v>
      </c>
      <c r="I9" s="2">
        <v>0</v>
      </c>
      <c r="J9" t="s">
        <v>33</v>
      </c>
      <c r="K9" t="s">
        <v>34</v>
      </c>
      <c r="L9" s="1">
        <v>46062</v>
      </c>
      <c r="M9">
        <v>777</v>
      </c>
      <c r="N9" s="3">
        <v>58275</v>
      </c>
      <c r="O9" s="3">
        <v>39.61</v>
      </c>
      <c r="P9" s="2">
        <v>0.47189999999999999</v>
      </c>
      <c r="Q9">
        <v>1829</v>
      </c>
      <c r="R9">
        <v>2.35</v>
      </c>
      <c r="S9" s="2">
        <v>0.29820000000000002</v>
      </c>
      <c r="T9" t="s">
        <v>39</v>
      </c>
      <c r="U9" t="s">
        <v>40</v>
      </c>
      <c r="V9" s="3">
        <f>retail_dataset_additional_200_rows[[#This Row],[Revenue_Week]]*retail_dataset_additional_200_rows[[#This Row],[MarginPct]]</f>
        <v>27499.9725</v>
      </c>
    </row>
    <row r="10" spans="1:22" x14ac:dyDescent="0.25">
      <c r="A10" t="s">
        <v>55</v>
      </c>
      <c r="B10" t="s">
        <v>56</v>
      </c>
      <c r="C10" t="s">
        <v>57</v>
      </c>
      <c r="D10" s="1">
        <v>46357</v>
      </c>
      <c r="E10">
        <v>2025</v>
      </c>
      <c r="F10" t="s">
        <v>32</v>
      </c>
      <c r="G10" s="3">
        <v>50</v>
      </c>
      <c r="H10" s="3">
        <v>50</v>
      </c>
      <c r="I10" s="2">
        <v>0</v>
      </c>
      <c r="J10" t="s">
        <v>33</v>
      </c>
      <c r="K10" t="s">
        <v>34</v>
      </c>
      <c r="L10" s="1">
        <v>46056</v>
      </c>
      <c r="M10">
        <v>256</v>
      </c>
      <c r="N10" s="3">
        <v>12800</v>
      </c>
      <c r="O10" s="3">
        <v>28.01</v>
      </c>
      <c r="P10" s="2">
        <v>0.43980000000000002</v>
      </c>
      <c r="Q10">
        <v>1519</v>
      </c>
      <c r="R10">
        <v>5.93</v>
      </c>
      <c r="S10" s="2">
        <v>0.14419999999999999</v>
      </c>
      <c r="T10" t="s">
        <v>39</v>
      </c>
      <c r="U10" t="s">
        <v>40</v>
      </c>
      <c r="V10" s="3">
        <f>retail_dataset_additional_200_rows[[#This Row],[Revenue_Week]]*retail_dataset_additional_200_rows[[#This Row],[MarginPct]]</f>
        <v>5629.4400000000005</v>
      </c>
    </row>
    <row r="11" spans="1:22" x14ac:dyDescent="0.25">
      <c r="A11" t="s">
        <v>58</v>
      </c>
      <c r="B11" t="s">
        <v>59</v>
      </c>
      <c r="C11" t="s">
        <v>60</v>
      </c>
      <c r="D11" s="1">
        <v>46235</v>
      </c>
      <c r="E11">
        <v>2024</v>
      </c>
      <c r="F11" t="s">
        <v>24</v>
      </c>
      <c r="G11" s="3">
        <v>25</v>
      </c>
      <c r="H11" s="3">
        <v>20</v>
      </c>
      <c r="I11" s="2">
        <v>0.2</v>
      </c>
      <c r="J11" t="s">
        <v>25</v>
      </c>
      <c r="K11" t="s">
        <v>45</v>
      </c>
      <c r="L11" s="1">
        <v>46062</v>
      </c>
      <c r="M11">
        <v>658</v>
      </c>
      <c r="N11" s="3">
        <v>13160</v>
      </c>
      <c r="O11" s="3">
        <v>13.38</v>
      </c>
      <c r="P11" s="2">
        <v>0.33100000000000002</v>
      </c>
      <c r="Q11">
        <v>348</v>
      </c>
      <c r="R11">
        <v>0.53</v>
      </c>
      <c r="S11" s="2">
        <v>0.65410000000000001</v>
      </c>
      <c r="T11" t="s">
        <v>52</v>
      </c>
      <c r="U11" t="s">
        <v>28</v>
      </c>
      <c r="V11" s="3">
        <f>retail_dataset_additional_200_rows[[#This Row],[Revenue_Week]]*retail_dataset_additional_200_rows[[#This Row],[MarginPct]]</f>
        <v>4355.96</v>
      </c>
    </row>
    <row r="12" spans="1:22" x14ac:dyDescent="0.25">
      <c r="A12" t="s">
        <v>61</v>
      </c>
      <c r="B12" t="s">
        <v>62</v>
      </c>
      <c r="C12" t="s">
        <v>63</v>
      </c>
      <c r="D12" s="1">
        <v>46143</v>
      </c>
      <c r="E12">
        <v>2025</v>
      </c>
      <c r="F12" t="s">
        <v>32</v>
      </c>
      <c r="G12" s="3">
        <v>55</v>
      </c>
      <c r="H12" s="3">
        <v>55</v>
      </c>
      <c r="I12" s="2">
        <v>0</v>
      </c>
      <c r="J12" t="s">
        <v>33</v>
      </c>
      <c r="K12" t="s">
        <v>34</v>
      </c>
      <c r="L12" s="1">
        <v>46065</v>
      </c>
      <c r="M12">
        <v>642</v>
      </c>
      <c r="N12" s="3">
        <v>35310</v>
      </c>
      <c r="O12" s="3">
        <v>30.37</v>
      </c>
      <c r="P12" s="2">
        <v>0.44779999999999998</v>
      </c>
      <c r="Q12">
        <v>1699</v>
      </c>
      <c r="R12">
        <v>2.65</v>
      </c>
      <c r="S12" s="2">
        <v>0.2742</v>
      </c>
      <c r="T12" t="s">
        <v>39</v>
      </c>
      <c r="U12" t="s">
        <v>28</v>
      </c>
      <c r="V12" s="3">
        <f>retail_dataset_additional_200_rows[[#This Row],[Revenue_Week]]*retail_dataset_additional_200_rows[[#This Row],[MarginPct]]</f>
        <v>15811.817999999999</v>
      </c>
    </row>
    <row r="13" spans="1:22" x14ac:dyDescent="0.25">
      <c r="A13" t="s">
        <v>64</v>
      </c>
      <c r="B13" t="s">
        <v>65</v>
      </c>
      <c r="C13" t="s">
        <v>66</v>
      </c>
      <c r="D13" s="1">
        <v>46266</v>
      </c>
      <c r="E13">
        <v>2025</v>
      </c>
      <c r="F13" t="s">
        <v>24</v>
      </c>
      <c r="G13" s="3">
        <v>35</v>
      </c>
      <c r="H13" s="3">
        <v>28</v>
      </c>
      <c r="I13" s="2">
        <v>0.2</v>
      </c>
      <c r="J13" t="s">
        <v>25</v>
      </c>
      <c r="K13" t="s">
        <v>26</v>
      </c>
      <c r="L13" s="1">
        <v>46056</v>
      </c>
      <c r="M13">
        <v>778</v>
      </c>
      <c r="N13" s="3">
        <v>21784</v>
      </c>
      <c r="O13" s="3">
        <v>15.66</v>
      </c>
      <c r="P13" s="2">
        <v>0.44069999999999998</v>
      </c>
      <c r="Q13">
        <v>1389</v>
      </c>
      <c r="R13">
        <v>1.79</v>
      </c>
      <c r="S13" s="2">
        <v>0.35899999999999999</v>
      </c>
      <c r="T13" t="s">
        <v>27</v>
      </c>
      <c r="U13" t="s">
        <v>67</v>
      </c>
      <c r="V13" s="3">
        <f>retail_dataset_additional_200_rows[[#This Row],[Revenue_Week]]*retail_dataset_additional_200_rows[[#This Row],[MarginPct]]</f>
        <v>9600.2088000000003</v>
      </c>
    </row>
    <row r="14" spans="1:22" x14ac:dyDescent="0.25">
      <c r="A14" t="s">
        <v>68</v>
      </c>
      <c r="B14" t="s">
        <v>69</v>
      </c>
      <c r="C14" t="s">
        <v>70</v>
      </c>
      <c r="D14" s="1">
        <v>46266</v>
      </c>
      <c r="E14">
        <v>2024</v>
      </c>
      <c r="F14" t="s">
        <v>24</v>
      </c>
      <c r="G14" s="3">
        <v>150</v>
      </c>
      <c r="H14" s="3">
        <v>120</v>
      </c>
      <c r="I14" s="2">
        <v>0.2</v>
      </c>
      <c r="J14" t="s">
        <v>25</v>
      </c>
      <c r="K14" t="s">
        <v>26</v>
      </c>
      <c r="L14" s="1">
        <v>46056</v>
      </c>
      <c r="M14">
        <v>203</v>
      </c>
      <c r="N14" s="3">
        <v>24360</v>
      </c>
      <c r="O14" s="3">
        <v>53.95</v>
      </c>
      <c r="P14" s="2">
        <v>0.5504</v>
      </c>
      <c r="Q14">
        <v>469</v>
      </c>
      <c r="R14">
        <v>2.31</v>
      </c>
      <c r="S14" s="2">
        <v>0.30209999999999998</v>
      </c>
      <c r="T14" t="s">
        <v>39</v>
      </c>
      <c r="U14" t="s">
        <v>67</v>
      </c>
      <c r="V14" s="3">
        <f>retail_dataset_additional_200_rows[[#This Row],[Revenue_Week]]*retail_dataset_additional_200_rows[[#This Row],[MarginPct]]</f>
        <v>13407.744000000001</v>
      </c>
    </row>
    <row r="15" spans="1:22" x14ac:dyDescent="0.25">
      <c r="A15" t="s">
        <v>71</v>
      </c>
      <c r="B15" t="s">
        <v>59</v>
      </c>
      <c r="C15" t="s">
        <v>72</v>
      </c>
      <c r="D15" s="1">
        <v>46174</v>
      </c>
      <c r="E15">
        <v>2025</v>
      </c>
      <c r="F15" t="s">
        <v>24</v>
      </c>
      <c r="G15" s="3">
        <v>40</v>
      </c>
      <c r="H15" s="3">
        <v>32</v>
      </c>
      <c r="I15" s="2">
        <v>0.2</v>
      </c>
      <c r="J15" t="s">
        <v>25</v>
      </c>
      <c r="K15" t="s">
        <v>26</v>
      </c>
      <c r="L15" s="1">
        <v>46066</v>
      </c>
      <c r="M15">
        <v>485</v>
      </c>
      <c r="N15" s="3">
        <v>15520</v>
      </c>
      <c r="O15" s="3">
        <v>23.13</v>
      </c>
      <c r="P15" s="2">
        <v>0.2772</v>
      </c>
      <c r="Q15">
        <v>1918</v>
      </c>
      <c r="R15">
        <v>3.95</v>
      </c>
      <c r="S15" s="2">
        <v>0.20180000000000001</v>
      </c>
      <c r="T15" t="s">
        <v>52</v>
      </c>
      <c r="U15" t="s">
        <v>67</v>
      </c>
      <c r="V15" s="3">
        <f>retail_dataset_additional_200_rows[[#This Row],[Revenue_Week]]*retail_dataset_additional_200_rows[[#This Row],[MarginPct]]</f>
        <v>4302.1440000000002</v>
      </c>
    </row>
    <row r="16" spans="1:22" x14ac:dyDescent="0.25">
      <c r="A16" t="s">
        <v>73</v>
      </c>
      <c r="B16" t="s">
        <v>69</v>
      </c>
      <c r="C16" t="s">
        <v>74</v>
      </c>
      <c r="D16" s="1">
        <v>46113</v>
      </c>
      <c r="E16">
        <v>2024</v>
      </c>
      <c r="F16" t="s">
        <v>24</v>
      </c>
      <c r="G16" s="3">
        <v>80</v>
      </c>
      <c r="H16" s="3">
        <v>64</v>
      </c>
      <c r="I16" s="2">
        <v>0.2</v>
      </c>
      <c r="J16" t="s">
        <v>25</v>
      </c>
      <c r="K16" t="s">
        <v>26</v>
      </c>
      <c r="L16" s="1">
        <v>46054</v>
      </c>
      <c r="M16">
        <v>319</v>
      </c>
      <c r="N16" s="3">
        <v>20416</v>
      </c>
      <c r="O16" s="3">
        <v>41.95</v>
      </c>
      <c r="P16" s="2">
        <v>0.34449999999999997</v>
      </c>
      <c r="Q16">
        <v>1461</v>
      </c>
      <c r="R16">
        <v>4.58</v>
      </c>
      <c r="S16" s="2">
        <v>0.1792</v>
      </c>
      <c r="T16" t="s">
        <v>27</v>
      </c>
      <c r="U16" t="s">
        <v>35</v>
      </c>
      <c r="V16" s="3">
        <f>retail_dataset_additional_200_rows[[#This Row],[Revenue_Week]]*retail_dataset_additional_200_rows[[#This Row],[MarginPct]]</f>
        <v>7033.3119999999999</v>
      </c>
    </row>
    <row r="17" spans="1:22" x14ac:dyDescent="0.25">
      <c r="A17" t="s">
        <v>75</v>
      </c>
      <c r="B17" t="s">
        <v>69</v>
      </c>
      <c r="C17" t="s">
        <v>74</v>
      </c>
      <c r="D17" s="1">
        <v>46023</v>
      </c>
      <c r="E17">
        <v>2025</v>
      </c>
      <c r="F17" t="s">
        <v>32</v>
      </c>
      <c r="G17" s="3">
        <v>45</v>
      </c>
      <c r="H17" s="3">
        <v>45</v>
      </c>
      <c r="I17" s="2">
        <v>0</v>
      </c>
      <c r="J17" t="s">
        <v>33</v>
      </c>
      <c r="K17" t="s">
        <v>34</v>
      </c>
      <c r="L17" s="1">
        <v>46058</v>
      </c>
      <c r="M17">
        <v>181</v>
      </c>
      <c r="N17" s="3">
        <v>8145</v>
      </c>
      <c r="O17" s="3">
        <v>16.11</v>
      </c>
      <c r="P17" s="2">
        <v>0.64200000000000002</v>
      </c>
      <c r="Q17">
        <v>637</v>
      </c>
      <c r="R17">
        <v>3.52</v>
      </c>
      <c r="S17" s="2">
        <v>0.2213</v>
      </c>
      <c r="T17" t="s">
        <v>52</v>
      </c>
      <c r="U17" t="s">
        <v>35</v>
      </c>
      <c r="V17" s="3">
        <f>retail_dataset_additional_200_rows[[#This Row],[Revenue_Week]]*retail_dataset_additional_200_rows[[#This Row],[MarginPct]]</f>
        <v>5229.09</v>
      </c>
    </row>
    <row r="18" spans="1:22" x14ac:dyDescent="0.25">
      <c r="A18" t="s">
        <v>76</v>
      </c>
      <c r="B18" t="s">
        <v>47</v>
      </c>
      <c r="C18" t="s">
        <v>48</v>
      </c>
      <c r="D18" s="1">
        <v>46357</v>
      </c>
      <c r="E18">
        <v>2025</v>
      </c>
      <c r="F18" t="s">
        <v>32</v>
      </c>
      <c r="G18" s="3">
        <v>80</v>
      </c>
      <c r="H18" s="3">
        <v>80</v>
      </c>
      <c r="I18" s="2">
        <v>0</v>
      </c>
      <c r="J18" t="s">
        <v>33</v>
      </c>
      <c r="K18" t="s">
        <v>34</v>
      </c>
      <c r="L18" s="1">
        <v>46054</v>
      </c>
      <c r="M18">
        <v>604</v>
      </c>
      <c r="N18" s="3">
        <v>48320</v>
      </c>
      <c r="O18" s="3">
        <v>40.72</v>
      </c>
      <c r="P18" s="2">
        <v>0.49099999999999999</v>
      </c>
      <c r="Q18">
        <v>1431</v>
      </c>
      <c r="R18">
        <v>2.37</v>
      </c>
      <c r="S18" s="2">
        <v>0.29680000000000001</v>
      </c>
      <c r="T18" t="s">
        <v>39</v>
      </c>
      <c r="U18" t="s">
        <v>67</v>
      </c>
      <c r="V18" s="3">
        <f>retail_dataset_additional_200_rows[[#This Row],[Revenue_Week]]*retail_dataset_additional_200_rows[[#This Row],[MarginPct]]</f>
        <v>23725.119999999999</v>
      </c>
    </row>
    <row r="19" spans="1:22" x14ac:dyDescent="0.25">
      <c r="A19" t="s">
        <v>77</v>
      </c>
      <c r="B19" t="s">
        <v>69</v>
      </c>
      <c r="C19" t="s">
        <v>70</v>
      </c>
      <c r="D19" s="1">
        <v>46266</v>
      </c>
      <c r="E19">
        <v>2025</v>
      </c>
      <c r="F19" t="s">
        <v>24</v>
      </c>
      <c r="G19" s="3">
        <v>55</v>
      </c>
      <c r="H19" s="3">
        <v>44</v>
      </c>
      <c r="I19" s="2">
        <v>0.2</v>
      </c>
      <c r="J19" t="s">
        <v>25</v>
      </c>
      <c r="K19" t="s">
        <v>26</v>
      </c>
      <c r="L19" s="1">
        <v>46062</v>
      </c>
      <c r="M19">
        <v>439</v>
      </c>
      <c r="N19" s="3">
        <v>19316</v>
      </c>
      <c r="O19" s="3">
        <v>21.05</v>
      </c>
      <c r="P19" s="2">
        <v>0.52159999999999995</v>
      </c>
      <c r="Q19">
        <v>515</v>
      </c>
      <c r="R19">
        <v>1.17</v>
      </c>
      <c r="S19" s="2">
        <v>0.4602</v>
      </c>
      <c r="T19" t="s">
        <v>39</v>
      </c>
      <c r="U19" t="s">
        <v>40</v>
      </c>
      <c r="V19" s="3">
        <f>retail_dataset_additional_200_rows[[#This Row],[Revenue_Week]]*retail_dataset_additional_200_rows[[#This Row],[MarginPct]]</f>
        <v>10075.2256</v>
      </c>
    </row>
    <row r="20" spans="1:22" x14ac:dyDescent="0.25">
      <c r="A20" t="s">
        <v>78</v>
      </c>
      <c r="B20" t="s">
        <v>47</v>
      </c>
      <c r="C20" t="s">
        <v>48</v>
      </c>
      <c r="D20" s="1">
        <v>46143</v>
      </c>
      <c r="E20">
        <v>2023</v>
      </c>
      <c r="F20" t="s">
        <v>32</v>
      </c>
      <c r="G20" s="3">
        <v>60</v>
      </c>
      <c r="H20" s="3">
        <v>60</v>
      </c>
      <c r="I20" s="2">
        <v>0</v>
      </c>
      <c r="J20" t="s">
        <v>33</v>
      </c>
      <c r="K20" t="s">
        <v>34</v>
      </c>
      <c r="L20" s="1">
        <v>46068</v>
      </c>
      <c r="M20">
        <v>413</v>
      </c>
      <c r="N20" s="3">
        <v>24780</v>
      </c>
      <c r="O20" s="3">
        <v>23.87</v>
      </c>
      <c r="P20" s="2">
        <v>0.60219999999999996</v>
      </c>
      <c r="Q20">
        <v>755</v>
      </c>
      <c r="R20">
        <v>1.83</v>
      </c>
      <c r="S20" s="2">
        <v>0.35360000000000003</v>
      </c>
      <c r="T20" t="s">
        <v>27</v>
      </c>
      <c r="U20" t="s">
        <v>35</v>
      </c>
      <c r="V20" s="3">
        <f>retail_dataset_additional_200_rows[[#This Row],[Revenue_Week]]*retail_dataset_additional_200_rows[[#This Row],[MarginPct]]</f>
        <v>14922.516</v>
      </c>
    </row>
    <row r="21" spans="1:22" x14ac:dyDescent="0.25">
      <c r="A21" t="s">
        <v>79</v>
      </c>
      <c r="B21" t="s">
        <v>37</v>
      </c>
      <c r="C21" t="s">
        <v>80</v>
      </c>
      <c r="D21" s="1">
        <v>46174</v>
      </c>
      <c r="E21">
        <v>2024</v>
      </c>
      <c r="F21" t="s">
        <v>24</v>
      </c>
      <c r="G21" s="3">
        <v>140</v>
      </c>
      <c r="H21" s="3">
        <v>112</v>
      </c>
      <c r="I21" s="2">
        <v>0.2</v>
      </c>
      <c r="J21" t="s">
        <v>25</v>
      </c>
      <c r="K21" t="s">
        <v>26</v>
      </c>
      <c r="L21" s="1">
        <v>46056</v>
      </c>
      <c r="M21">
        <v>166</v>
      </c>
      <c r="N21" s="3">
        <v>18592</v>
      </c>
      <c r="O21" s="3">
        <v>58.32</v>
      </c>
      <c r="P21" s="2">
        <v>0.4793</v>
      </c>
      <c r="Q21">
        <v>563</v>
      </c>
      <c r="R21">
        <v>3.39</v>
      </c>
      <c r="S21" s="2">
        <v>0.22770000000000001</v>
      </c>
      <c r="T21" t="s">
        <v>27</v>
      </c>
      <c r="U21" t="s">
        <v>67</v>
      </c>
      <c r="V21" s="3">
        <f>retail_dataset_additional_200_rows[[#This Row],[Revenue_Week]]*retail_dataset_additional_200_rows[[#This Row],[MarginPct]]</f>
        <v>8911.1455999999998</v>
      </c>
    </row>
    <row r="22" spans="1:22" x14ac:dyDescent="0.25">
      <c r="A22" t="s">
        <v>81</v>
      </c>
      <c r="B22" t="s">
        <v>50</v>
      </c>
      <c r="C22" t="s">
        <v>51</v>
      </c>
      <c r="D22" s="1">
        <v>46082</v>
      </c>
      <c r="E22">
        <v>2025</v>
      </c>
      <c r="F22" t="s">
        <v>32</v>
      </c>
      <c r="G22" s="3">
        <v>150</v>
      </c>
      <c r="H22" s="3">
        <v>150</v>
      </c>
      <c r="I22" s="2">
        <v>0</v>
      </c>
      <c r="J22" t="s">
        <v>33</v>
      </c>
      <c r="K22" t="s">
        <v>34</v>
      </c>
      <c r="L22" s="1">
        <v>46068</v>
      </c>
      <c r="M22">
        <v>147</v>
      </c>
      <c r="N22" s="3">
        <v>22050</v>
      </c>
      <c r="O22" s="3">
        <v>83.35</v>
      </c>
      <c r="P22" s="2">
        <v>0.44429999999999997</v>
      </c>
      <c r="Q22">
        <v>1246</v>
      </c>
      <c r="R22">
        <v>8.48</v>
      </c>
      <c r="S22" s="2">
        <v>0.1055</v>
      </c>
      <c r="T22" t="s">
        <v>52</v>
      </c>
      <c r="U22" t="s">
        <v>40</v>
      </c>
      <c r="V22" s="3">
        <f>retail_dataset_additional_200_rows[[#This Row],[Revenue_Week]]*retail_dataset_additional_200_rows[[#This Row],[MarginPct]]</f>
        <v>9796.8149999999987</v>
      </c>
    </row>
    <row r="23" spans="1:22" x14ac:dyDescent="0.25">
      <c r="A23" t="s">
        <v>82</v>
      </c>
      <c r="B23" t="s">
        <v>50</v>
      </c>
      <c r="C23" t="s">
        <v>83</v>
      </c>
      <c r="D23" s="1">
        <v>46082</v>
      </c>
      <c r="E23">
        <v>2023</v>
      </c>
      <c r="F23" t="s">
        <v>24</v>
      </c>
      <c r="G23" s="3">
        <v>45</v>
      </c>
      <c r="H23" s="3">
        <v>36</v>
      </c>
      <c r="I23" s="2">
        <v>0.2</v>
      </c>
      <c r="J23" t="s">
        <v>25</v>
      </c>
      <c r="K23" t="s">
        <v>26</v>
      </c>
      <c r="L23" s="1">
        <v>46056</v>
      </c>
      <c r="M23">
        <v>244</v>
      </c>
      <c r="N23" s="3">
        <v>8784</v>
      </c>
      <c r="O23" s="3">
        <v>23.06</v>
      </c>
      <c r="P23" s="2">
        <v>0.3594</v>
      </c>
      <c r="Q23">
        <v>566</v>
      </c>
      <c r="R23">
        <v>2.3199999999999998</v>
      </c>
      <c r="S23" s="2">
        <v>0.30120000000000002</v>
      </c>
      <c r="T23" t="s">
        <v>39</v>
      </c>
      <c r="U23" t="s">
        <v>40</v>
      </c>
      <c r="V23" s="3">
        <f>retail_dataset_additional_200_rows[[#This Row],[Revenue_Week]]*retail_dataset_additional_200_rows[[#This Row],[MarginPct]]</f>
        <v>3156.9695999999999</v>
      </c>
    </row>
    <row r="24" spans="1:22" x14ac:dyDescent="0.25">
      <c r="A24" t="s">
        <v>84</v>
      </c>
      <c r="B24" t="s">
        <v>62</v>
      </c>
      <c r="C24" t="s">
        <v>85</v>
      </c>
      <c r="D24" s="1">
        <v>46082</v>
      </c>
      <c r="E24">
        <v>2024</v>
      </c>
      <c r="F24" t="s">
        <v>32</v>
      </c>
      <c r="G24" s="3">
        <v>50</v>
      </c>
      <c r="H24" s="3">
        <v>50</v>
      </c>
      <c r="I24" s="2">
        <v>0</v>
      </c>
      <c r="J24" t="s">
        <v>33</v>
      </c>
      <c r="K24" t="s">
        <v>34</v>
      </c>
      <c r="L24" s="1">
        <v>46064</v>
      </c>
      <c r="M24">
        <v>252</v>
      </c>
      <c r="N24" s="3">
        <v>12600</v>
      </c>
      <c r="O24" s="3">
        <v>19.5</v>
      </c>
      <c r="P24" s="2">
        <v>0.61</v>
      </c>
      <c r="Q24">
        <v>1094</v>
      </c>
      <c r="R24">
        <v>4.34</v>
      </c>
      <c r="S24" s="2">
        <v>0.18720000000000001</v>
      </c>
      <c r="T24" t="s">
        <v>27</v>
      </c>
      <c r="U24" t="s">
        <v>28</v>
      </c>
      <c r="V24" s="3">
        <f>retail_dataset_additional_200_rows[[#This Row],[Revenue_Week]]*retail_dataset_additional_200_rows[[#This Row],[MarginPct]]</f>
        <v>7686</v>
      </c>
    </row>
    <row r="25" spans="1:22" x14ac:dyDescent="0.25">
      <c r="A25" t="s">
        <v>86</v>
      </c>
      <c r="B25" t="s">
        <v>50</v>
      </c>
      <c r="C25" t="s">
        <v>51</v>
      </c>
      <c r="D25" s="1">
        <v>46082</v>
      </c>
      <c r="E25">
        <v>2023</v>
      </c>
      <c r="F25" t="s">
        <v>32</v>
      </c>
      <c r="G25" s="3">
        <v>30</v>
      </c>
      <c r="H25" s="3">
        <v>30</v>
      </c>
      <c r="I25" s="2">
        <v>0</v>
      </c>
      <c r="J25" t="s">
        <v>33</v>
      </c>
      <c r="K25" t="s">
        <v>34</v>
      </c>
      <c r="L25" s="1">
        <v>46065</v>
      </c>
      <c r="M25">
        <v>697</v>
      </c>
      <c r="N25" s="3">
        <v>20910</v>
      </c>
      <c r="O25" s="3">
        <v>10.95</v>
      </c>
      <c r="P25" s="2">
        <v>0.63500000000000001</v>
      </c>
      <c r="Q25">
        <v>380</v>
      </c>
      <c r="R25">
        <v>0.55000000000000004</v>
      </c>
      <c r="S25" s="2">
        <v>0.6472</v>
      </c>
      <c r="T25" t="s">
        <v>52</v>
      </c>
      <c r="U25" t="s">
        <v>40</v>
      </c>
      <c r="V25" s="3">
        <f>retail_dataset_additional_200_rows[[#This Row],[Revenue_Week]]*retail_dataset_additional_200_rows[[#This Row],[MarginPct]]</f>
        <v>13277.85</v>
      </c>
    </row>
    <row r="26" spans="1:22" x14ac:dyDescent="0.25">
      <c r="A26" t="s">
        <v>87</v>
      </c>
      <c r="B26" t="s">
        <v>43</v>
      </c>
      <c r="C26" t="s">
        <v>88</v>
      </c>
      <c r="D26" s="1">
        <v>46023</v>
      </c>
      <c r="E26">
        <v>2025</v>
      </c>
      <c r="F26" t="s">
        <v>24</v>
      </c>
      <c r="G26" s="3">
        <v>55</v>
      </c>
      <c r="H26" s="3">
        <v>44</v>
      </c>
      <c r="I26" s="2">
        <v>0.2</v>
      </c>
      <c r="J26" t="s">
        <v>25</v>
      </c>
      <c r="K26" t="s">
        <v>26</v>
      </c>
      <c r="L26" s="1">
        <v>46063</v>
      </c>
      <c r="M26">
        <v>110</v>
      </c>
      <c r="N26" s="3">
        <v>4840</v>
      </c>
      <c r="O26" s="3">
        <v>31.78</v>
      </c>
      <c r="P26" s="2">
        <v>0.2777</v>
      </c>
      <c r="Q26">
        <v>1182</v>
      </c>
      <c r="R26">
        <v>10.75</v>
      </c>
      <c r="S26" s="2">
        <v>8.5099999999999995E-2</v>
      </c>
      <c r="T26" t="s">
        <v>52</v>
      </c>
      <c r="U26" t="s">
        <v>35</v>
      </c>
      <c r="V26" s="3">
        <f>retail_dataset_additional_200_rows[[#This Row],[Revenue_Week]]*retail_dataset_additional_200_rows[[#This Row],[MarginPct]]</f>
        <v>1344.068</v>
      </c>
    </row>
    <row r="27" spans="1:22" x14ac:dyDescent="0.25">
      <c r="A27" t="s">
        <v>89</v>
      </c>
      <c r="B27" t="s">
        <v>69</v>
      </c>
      <c r="C27" t="s">
        <v>90</v>
      </c>
      <c r="D27" s="1">
        <v>46266</v>
      </c>
      <c r="E27">
        <v>2024</v>
      </c>
      <c r="F27" t="s">
        <v>24</v>
      </c>
      <c r="G27" s="3">
        <v>45</v>
      </c>
      <c r="H27" s="3">
        <v>36</v>
      </c>
      <c r="I27" s="2">
        <v>0.2</v>
      </c>
      <c r="J27" t="s">
        <v>25</v>
      </c>
      <c r="K27" t="s">
        <v>45</v>
      </c>
      <c r="L27" s="1">
        <v>46064</v>
      </c>
      <c r="M27">
        <v>100</v>
      </c>
      <c r="N27" s="3">
        <v>3600</v>
      </c>
      <c r="O27" s="3">
        <v>19.350000000000001</v>
      </c>
      <c r="P27" s="2">
        <v>0.46250000000000002</v>
      </c>
      <c r="Q27">
        <v>1220</v>
      </c>
      <c r="R27">
        <v>12.2</v>
      </c>
      <c r="S27" s="2">
        <v>7.5800000000000006E-2</v>
      </c>
      <c r="T27" t="s">
        <v>39</v>
      </c>
      <c r="U27" t="s">
        <v>40</v>
      </c>
      <c r="V27" s="3">
        <f>retail_dataset_additional_200_rows[[#This Row],[Revenue_Week]]*retail_dataset_additional_200_rows[[#This Row],[MarginPct]]</f>
        <v>1665</v>
      </c>
    </row>
    <row r="28" spans="1:22" x14ac:dyDescent="0.25">
      <c r="A28" t="s">
        <v>91</v>
      </c>
      <c r="B28" t="s">
        <v>62</v>
      </c>
      <c r="C28" t="s">
        <v>92</v>
      </c>
      <c r="D28" s="1">
        <v>46266</v>
      </c>
      <c r="E28">
        <v>2023</v>
      </c>
      <c r="F28" t="s">
        <v>24</v>
      </c>
      <c r="G28" s="3">
        <v>65</v>
      </c>
      <c r="H28" s="3">
        <v>52</v>
      </c>
      <c r="I28" s="2">
        <v>0.2</v>
      </c>
      <c r="J28" t="s">
        <v>25</v>
      </c>
      <c r="K28" t="s">
        <v>26</v>
      </c>
      <c r="L28" s="1">
        <v>46057</v>
      </c>
      <c r="M28">
        <v>176</v>
      </c>
      <c r="N28" s="3">
        <v>9152</v>
      </c>
      <c r="O28" s="3">
        <v>23.36</v>
      </c>
      <c r="P28" s="2">
        <v>0.55079999999999996</v>
      </c>
      <c r="Q28">
        <v>721</v>
      </c>
      <c r="R28">
        <v>4.0999999999999996</v>
      </c>
      <c r="S28" s="2">
        <v>0.19620000000000001</v>
      </c>
      <c r="T28" t="s">
        <v>27</v>
      </c>
      <c r="U28" t="s">
        <v>28</v>
      </c>
      <c r="V28" s="3">
        <f>retail_dataset_additional_200_rows[[#This Row],[Revenue_Week]]*retail_dataset_additional_200_rows[[#This Row],[MarginPct]]</f>
        <v>5040.9215999999997</v>
      </c>
    </row>
    <row r="29" spans="1:22" x14ac:dyDescent="0.25">
      <c r="A29" t="s">
        <v>93</v>
      </c>
      <c r="B29" t="s">
        <v>37</v>
      </c>
      <c r="C29" t="s">
        <v>38</v>
      </c>
      <c r="D29" s="1">
        <v>46266</v>
      </c>
      <c r="E29">
        <v>2024</v>
      </c>
      <c r="F29" t="s">
        <v>32</v>
      </c>
      <c r="G29" s="3">
        <v>70</v>
      </c>
      <c r="H29" s="3">
        <v>70</v>
      </c>
      <c r="I29" s="2">
        <v>0</v>
      </c>
      <c r="J29" t="s">
        <v>33</v>
      </c>
      <c r="K29" t="s">
        <v>34</v>
      </c>
      <c r="L29" s="1">
        <v>46065</v>
      </c>
      <c r="M29">
        <v>258</v>
      </c>
      <c r="N29" s="3">
        <v>18060</v>
      </c>
      <c r="O29" s="3">
        <v>28.26</v>
      </c>
      <c r="P29" s="2">
        <v>0.59630000000000005</v>
      </c>
      <c r="Q29">
        <v>637</v>
      </c>
      <c r="R29">
        <v>2.4700000000000002</v>
      </c>
      <c r="S29" s="2">
        <v>0.2883</v>
      </c>
      <c r="T29" t="s">
        <v>27</v>
      </c>
      <c r="U29" t="s">
        <v>35</v>
      </c>
      <c r="V29" s="3">
        <f>retail_dataset_additional_200_rows[[#This Row],[Revenue_Week]]*retail_dataset_additional_200_rows[[#This Row],[MarginPct]]</f>
        <v>10769.178000000002</v>
      </c>
    </row>
    <row r="30" spans="1:22" x14ac:dyDescent="0.25">
      <c r="A30" t="s">
        <v>94</v>
      </c>
      <c r="B30" t="s">
        <v>50</v>
      </c>
      <c r="C30" t="s">
        <v>83</v>
      </c>
      <c r="D30" s="1">
        <v>46174</v>
      </c>
      <c r="E30">
        <v>2025</v>
      </c>
      <c r="F30" t="s">
        <v>24</v>
      </c>
      <c r="G30" s="3">
        <v>50</v>
      </c>
      <c r="H30" s="3">
        <v>40</v>
      </c>
      <c r="I30" s="2">
        <v>0.2</v>
      </c>
      <c r="J30" t="s">
        <v>25</v>
      </c>
      <c r="K30" t="s">
        <v>26</v>
      </c>
      <c r="L30" s="1">
        <v>46064</v>
      </c>
      <c r="M30">
        <v>710</v>
      </c>
      <c r="N30" s="3">
        <v>28400</v>
      </c>
      <c r="O30" s="3">
        <v>25.69</v>
      </c>
      <c r="P30" s="2">
        <v>0.35770000000000002</v>
      </c>
      <c r="Q30">
        <v>386</v>
      </c>
      <c r="R30">
        <v>0.54</v>
      </c>
      <c r="S30" s="2">
        <v>0.64780000000000004</v>
      </c>
      <c r="T30" t="s">
        <v>27</v>
      </c>
      <c r="U30" t="s">
        <v>67</v>
      </c>
      <c r="V30" s="3">
        <f>retail_dataset_additional_200_rows[[#This Row],[Revenue_Week]]*retail_dataset_additional_200_rows[[#This Row],[MarginPct]]</f>
        <v>10158.68</v>
      </c>
    </row>
    <row r="31" spans="1:22" x14ac:dyDescent="0.25">
      <c r="A31" t="s">
        <v>95</v>
      </c>
      <c r="B31" t="s">
        <v>47</v>
      </c>
      <c r="C31" t="s">
        <v>96</v>
      </c>
      <c r="D31" s="1">
        <v>46082</v>
      </c>
      <c r="E31">
        <v>2025</v>
      </c>
      <c r="F31" t="s">
        <v>24</v>
      </c>
      <c r="G31" s="3">
        <v>55</v>
      </c>
      <c r="H31" s="3">
        <v>44</v>
      </c>
      <c r="I31" s="2">
        <v>0.2</v>
      </c>
      <c r="J31" t="s">
        <v>25</v>
      </c>
      <c r="K31" t="s">
        <v>45</v>
      </c>
      <c r="L31" s="1">
        <v>46054</v>
      </c>
      <c r="M31">
        <v>339</v>
      </c>
      <c r="N31" s="3">
        <v>14916</v>
      </c>
      <c r="O31" s="3">
        <v>28.58</v>
      </c>
      <c r="P31" s="2">
        <v>0.35049999999999998</v>
      </c>
      <c r="Q31">
        <v>554</v>
      </c>
      <c r="R31">
        <v>1.63</v>
      </c>
      <c r="S31" s="2">
        <v>0.37959999999999999</v>
      </c>
      <c r="T31" t="s">
        <v>52</v>
      </c>
      <c r="U31" t="s">
        <v>35</v>
      </c>
      <c r="V31" s="3">
        <f>retail_dataset_additional_200_rows[[#This Row],[Revenue_Week]]*retail_dataset_additional_200_rows[[#This Row],[MarginPct]]</f>
        <v>5228.058</v>
      </c>
    </row>
    <row r="32" spans="1:22" x14ac:dyDescent="0.25">
      <c r="A32" t="s">
        <v>97</v>
      </c>
      <c r="B32" t="s">
        <v>98</v>
      </c>
      <c r="C32" t="s">
        <v>99</v>
      </c>
      <c r="D32" s="1">
        <v>46357</v>
      </c>
      <c r="E32">
        <v>2023</v>
      </c>
      <c r="F32" t="s">
        <v>32</v>
      </c>
      <c r="G32" s="3">
        <v>150</v>
      </c>
      <c r="H32" s="3">
        <v>150</v>
      </c>
      <c r="I32" s="2">
        <v>0</v>
      </c>
      <c r="J32" t="s">
        <v>33</v>
      </c>
      <c r="K32" t="s">
        <v>34</v>
      </c>
      <c r="L32" s="1">
        <v>46062</v>
      </c>
      <c r="M32">
        <v>377</v>
      </c>
      <c r="N32" s="3">
        <v>56550</v>
      </c>
      <c r="O32" s="3">
        <v>54.33</v>
      </c>
      <c r="P32" s="2">
        <v>0.63780000000000003</v>
      </c>
      <c r="Q32">
        <v>1417</v>
      </c>
      <c r="R32">
        <v>3.76</v>
      </c>
      <c r="S32" s="2">
        <v>0.21010000000000001</v>
      </c>
      <c r="T32" t="s">
        <v>39</v>
      </c>
      <c r="U32" t="s">
        <v>67</v>
      </c>
      <c r="V32" s="3">
        <f>retail_dataset_additional_200_rows[[#This Row],[Revenue_Week]]*retail_dataset_additional_200_rows[[#This Row],[MarginPct]]</f>
        <v>36067.590000000004</v>
      </c>
    </row>
    <row r="33" spans="1:22" x14ac:dyDescent="0.25">
      <c r="A33" t="s">
        <v>100</v>
      </c>
      <c r="B33" t="s">
        <v>30</v>
      </c>
      <c r="C33" t="s">
        <v>31</v>
      </c>
      <c r="D33" s="1">
        <v>46082</v>
      </c>
      <c r="E33">
        <v>2023</v>
      </c>
      <c r="F33" t="s">
        <v>32</v>
      </c>
      <c r="G33" s="3">
        <v>50</v>
      </c>
      <c r="H33" s="3">
        <v>50</v>
      </c>
      <c r="I33" s="2">
        <v>0</v>
      </c>
      <c r="J33" t="s">
        <v>33</v>
      </c>
      <c r="K33" t="s">
        <v>34</v>
      </c>
      <c r="L33" s="1">
        <v>46067</v>
      </c>
      <c r="M33">
        <v>308</v>
      </c>
      <c r="N33" s="3">
        <v>15400</v>
      </c>
      <c r="O33" s="3">
        <v>19.72</v>
      </c>
      <c r="P33" s="2">
        <v>0.60560000000000003</v>
      </c>
      <c r="Q33">
        <v>983</v>
      </c>
      <c r="R33">
        <v>3.19</v>
      </c>
      <c r="S33" s="2">
        <v>0.23860000000000001</v>
      </c>
      <c r="T33" t="s">
        <v>39</v>
      </c>
      <c r="U33" t="s">
        <v>28</v>
      </c>
      <c r="V33" s="3">
        <f>retail_dataset_additional_200_rows[[#This Row],[Revenue_Week]]*retail_dataset_additional_200_rows[[#This Row],[MarginPct]]</f>
        <v>9326.24</v>
      </c>
    </row>
    <row r="34" spans="1:22" x14ac:dyDescent="0.25">
      <c r="A34" t="s">
        <v>101</v>
      </c>
      <c r="B34" t="s">
        <v>42</v>
      </c>
      <c r="C34" t="s">
        <v>60</v>
      </c>
      <c r="D34" s="1">
        <v>46113</v>
      </c>
      <c r="E34">
        <v>2025</v>
      </c>
      <c r="F34" t="s">
        <v>24</v>
      </c>
      <c r="G34" s="3">
        <v>70</v>
      </c>
      <c r="H34" s="3">
        <v>56</v>
      </c>
      <c r="I34" s="2">
        <v>0.2</v>
      </c>
      <c r="J34" t="s">
        <v>25</v>
      </c>
      <c r="K34" t="s">
        <v>45</v>
      </c>
      <c r="L34" s="1">
        <v>46067</v>
      </c>
      <c r="M34">
        <v>189</v>
      </c>
      <c r="N34" s="3">
        <v>10584</v>
      </c>
      <c r="O34" s="3">
        <v>32.35</v>
      </c>
      <c r="P34" s="2">
        <v>0.42230000000000001</v>
      </c>
      <c r="Q34">
        <v>1755</v>
      </c>
      <c r="R34">
        <v>9.2899999999999991</v>
      </c>
      <c r="S34" s="2">
        <v>9.7199999999999995E-2</v>
      </c>
      <c r="T34" t="s">
        <v>39</v>
      </c>
      <c r="U34" t="s">
        <v>40</v>
      </c>
      <c r="V34" s="3">
        <f>retail_dataset_additional_200_rows[[#This Row],[Revenue_Week]]*retail_dataset_additional_200_rows[[#This Row],[MarginPct]]</f>
        <v>4469.6232</v>
      </c>
    </row>
    <row r="35" spans="1:22" x14ac:dyDescent="0.25">
      <c r="A35" t="s">
        <v>102</v>
      </c>
      <c r="B35" t="s">
        <v>62</v>
      </c>
      <c r="C35" t="s">
        <v>103</v>
      </c>
      <c r="D35" s="1">
        <v>46113</v>
      </c>
      <c r="E35">
        <v>2023</v>
      </c>
      <c r="F35" t="s">
        <v>32</v>
      </c>
      <c r="G35" s="3">
        <v>55</v>
      </c>
      <c r="H35" s="3">
        <v>55</v>
      </c>
      <c r="I35" s="2">
        <v>0</v>
      </c>
      <c r="J35" t="s">
        <v>33</v>
      </c>
      <c r="K35" t="s">
        <v>34</v>
      </c>
      <c r="L35" s="1">
        <v>46057</v>
      </c>
      <c r="M35">
        <v>311</v>
      </c>
      <c r="N35" s="3">
        <v>17105</v>
      </c>
      <c r="O35" s="3">
        <v>27.65</v>
      </c>
      <c r="P35" s="2">
        <v>0.49730000000000002</v>
      </c>
      <c r="Q35">
        <v>1539</v>
      </c>
      <c r="R35">
        <v>4.95</v>
      </c>
      <c r="S35" s="2">
        <v>0.1681</v>
      </c>
      <c r="T35" t="s">
        <v>27</v>
      </c>
      <c r="U35" t="s">
        <v>28</v>
      </c>
      <c r="V35" s="3">
        <f>retail_dataset_additional_200_rows[[#This Row],[Revenue_Week]]*retail_dataset_additional_200_rows[[#This Row],[MarginPct]]</f>
        <v>8506.3165000000008</v>
      </c>
    </row>
    <row r="36" spans="1:22" x14ac:dyDescent="0.25">
      <c r="A36" t="s">
        <v>104</v>
      </c>
      <c r="B36" t="s">
        <v>47</v>
      </c>
      <c r="C36" t="s">
        <v>105</v>
      </c>
      <c r="D36" s="1">
        <v>46174</v>
      </c>
      <c r="E36">
        <v>2024</v>
      </c>
      <c r="F36" t="s">
        <v>32</v>
      </c>
      <c r="G36" s="3">
        <v>50</v>
      </c>
      <c r="H36" s="3">
        <v>50</v>
      </c>
      <c r="I36" s="2">
        <v>0</v>
      </c>
      <c r="J36" t="s">
        <v>33</v>
      </c>
      <c r="K36" t="s">
        <v>34</v>
      </c>
      <c r="L36" s="1">
        <v>46066</v>
      </c>
      <c r="M36">
        <v>150</v>
      </c>
      <c r="N36" s="3">
        <v>7500</v>
      </c>
      <c r="O36" s="3">
        <v>22.21</v>
      </c>
      <c r="P36" s="2">
        <v>0.55579999999999996</v>
      </c>
      <c r="Q36">
        <v>862</v>
      </c>
      <c r="R36">
        <v>5.75</v>
      </c>
      <c r="S36" s="2">
        <v>0.1482</v>
      </c>
      <c r="T36" t="s">
        <v>52</v>
      </c>
      <c r="U36" t="s">
        <v>35</v>
      </c>
      <c r="V36" s="3">
        <f>retail_dataset_additional_200_rows[[#This Row],[Revenue_Week]]*retail_dataset_additional_200_rows[[#This Row],[MarginPct]]</f>
        <v>4168.5</v>
      </c>
    </row>
    <row r="37" spans="1:22" x14ac:dyDescent="0.25">
      <c r="A37" t="s">
        <v>106</v>
      </c>
      <c r="B37" t="s">
        <v>43</v>
      </c>
      <c r="C37" t="s">
        <v>107</v>
      </c>
      <c r="D37" s="1">
        <v>46266</v>
      </c>
      <c r="E37">
        <v>2025</v>
      </c>
      <c r="F37" t="s">
        <v>24</v>
      </c>
      <c r="G37" s="3">
        <v>30</v>
      </c>
      <c r="H37" s="3">
        <v>24</v>
      </c>
      <c r="I37" s="2">
        <v>0.2</v>
      </c>
      <c r="J37" t="s">
        <v>25</v>
      </c>
      <c r="K37" t="s">
        <v>45</v>
      </c>
      <c r="L37" s="1">
        <v>46057</v>
      </c>
      <c r="M37">
        <v>305</v>
      </c>
      <c r="N37" s="3">
        <v>7320</v>
      </c>
      <c r="O37" s="3">
        <v>16.45</v>
      </c>
      <c r="P37" s="2">
        <v>0.31459999999999999</v>
      </c>
      <c r="Q37">
        <v>1082</v>
      </c>
      <c r="R37">
        <v>3.55</v>
      </c>
      <c r="S37" s="2">
        <v>0.21990000000000001</v>
      </c>
      <c r="T37" t="s">
        <v>27</v>
      </c>
      <c r="U37" t="s">
        <v>35</v>
      </c>
      <c r="V37" s="3">
        <f>retail_dataset_additional_200_rows[[#This Row],[Revenue_Week]]*retail_dataset_additional_200_rows[[#This Row],[MarginPct]]</f>
        <v>2302.8719999999998</v>
      </c>
    </row>
    <row r="38" spans="1:22" x14ac:dyDescent="0.25">
      <c r="A38" t="s">
        <v>108</v>
      </c>
      <c r="B38" t="s">
        <v>62</v>
      </c>
      <c r="C38" t="s">
        <v>103</v>
      </c>
      <c r="D38" s="1">
        <v>46113</v>
      </c>
      <c r="E38">
        <v>2025</v>
      </c>
      <c r="F38" t="s">
        <v>24</v>
      </c>
      <c r="G38" s="3">
        <v>50</v>
      </c>
      <c r="H38" s="3">
        <v>40</v>
      </c>
      <c r="I38" s="2">
        <v>0.2</v>
      </c>
      <c r="J38" t="s">
        <v>25</v>
      </c>
      <c r="K38" t="s">
        <v>26</v>
      </c>
      <c r="L38" s="1">
        <v>46067</v>
      </c>
      <c r="M38">
        <v>376</v>
      </c>
      <c r="N38" s="3">
        <v>15040</v>
      </c>
      <c r="O38" s="3">
        <v>20.88</v>
      </c>
      <c r="P38" s="2">
        <v>0.47799999999999998</v>
      </c>
      <c r="Q38">
        <v>1100</v>
      </c>
      <c r="R38">
        <v>2.93</v>
      </c>
      <c r="S38" s="2">
        <v>0.25469999999999998</v>
      </c>
      <c r="T38" t="s">
        <v>52</v>
      </c>
      <c r="U38" t="s">
        <v>28</v>
      </c>
      <c r="V38" s="3">
        <f>retail_dataset_additional_200_rows[[#This Row],[Revenue_Week]]*retail_dataset_additional_200_rows[[#This Row],[MarginPct]]</f>
        <v>7189.12</v>
      </c>
    </row>
    <row r="39" spans="1:22" x14ac:dyDescent="0.25">
      <c r="A39" t="s">
        <v>109</v>
      </c>
      <c r="B39" t="s">
        <v>42</v>
      </c>
      <c r="C39" t="s">
        <v>72</v>
      </c>
      <c r="D39" s="1">
        <v>46235</v>
      </c>
      <c r="E39">
        <v>2025</v>
      </c>
      <c r="F39" t="s">
        <v>32</v>
      </c>
      <c r="G39" s="3">
        <v>50</v>
      </c>
      <c r="H39" s="3">
        <v>50</v>
      </c>
      <c r="I39" s="2">
        <v>0</v>
      </c>
      <c r="J39" t="s">
        <v>33</v>
      </c>
      <c r="K39" t="s">
        <v>34</v>
      </c>
      <c r="L39" s="1">
        <v>46055</v>
      </c>
      <c r="M39">
        <v>250</v>
      </c>
      <c r="N39" s="3">
        <v>12500</v>
      </c>
      <c r="O39" s="3">
        <v>21.1</v>
      </c>
      <c r="P39" s="2">
        <v>0.57799999999999996</v>
      </c>
      <c r="Q39">
        <v>1102</v>
      </c>
      <c r="R39">
        <v>4.41</v>
      </c>
      <c r="S39" s="2">
        <v>0.18490000000000001</v>
      </c>
      <c r="T39" t="s">
        <v>27</v>
      </c>
      <c r="U39" t="s">
        <v>67</v>
      </c>
      <c r="V39" s="3">
        <f>retail_dataset_additional_200_rows[[#This Row],[Revenue_Week]]*retail_dataset_additional_200_rows[[#This Row],[MarginPct]]</f>
        <v>7224.9999999999991</v>
      </c>
    </row>
    <row r="40" spans="1:22" x14ac:dyDescent="0.25">
      <c r="A40" t="s">
        <v>110</v>
      </c>
      <c r="B40" t="s">
        <v>22</v>
      </c>
      <c r="C40" t="s">
        <v>111</v>
      </c>
      <c r="D40" s="1">
        <v>46143</v>
      </c>
      <c r="E40">
        <v>2024</v>
      </c>
      <c r="F40" t="s">
        <v>32</v>
      </c>
      <c r="G40" s="3">
        <v>120</v>
      </c>
      <c r="H40" s="3">
        <v>120</v>
      </c>
      <c r="I40" s="2">
        <v>0</v>
      </c>
      <c r="J40" t="s">
        <v>33</v>
      </c>
      <c r="K40" t="s">
        <v>34</v>
      </c>
      <c r="L40" s="1">
        <v>46065</v>
      </c>
      <c r="M40">
        <v>668</v>
      </c>
      <c r="N40" s="3">
        <v>80160</v>
      </c>
      <c r="O40" s="3">
        <v>61.03</v>
      </c>
      <c r="P40" s="2">
        <v>0.4914</v>
      </c>
      <c r="Q40">
        <v>460</v>
      </c>
      <c r="R40">
        <v>0.69</v>
      </c>
      <c r="S40" s="2">
        <v>0.59219999999999995</v>
      </c>
      <c r="T40" t="s">
        <v>52</v>
      </c>
      <c r="U40" t="s">
        <v>40</v>
      </c>
      <c r="V40" s="3">
        <f>retail_dataset_additional_200_rows[[#This Row],[Revenue_Week]]*retail_dataset_additional_200_rows[[#This Row],[MarginPct]]</f>
        <v>39390.624000000003</v>
      </c>
    </row>
    <row r="41" spans="1:22" x14ac:dyDescent="0.25">
      <c r="A41" t="s">
        <v>112</v>
      </c>
      <c r="B41" t="s">
        <v>50</v>
      </c>
      <c r="C41" t="s">
        <v>51</v>
      </c>
      <c r="D41" s="1">
        <v>46082</v>
      </c>
      <c r="E41">
        <v>2023</v>
      </c>
      <c r="F41" t="s">
        <v>32</v>
      </c>
      <c r="G41" s="3">
        <v>40</v>
      </c>
      <c r="H41" s="3">
        <v>40</v>
      </c>
      <c r="I41" s="2">
        <v>0</v>
      </c>
      <c r="J41" t="s">
        <v>33</v>
      </c>
      <c r="K41" t="s">
        <v>34</v>
      </c>
      <c r="L41" s="1">
        <v>46055</v>
      </c>
      <c r="M41">
        <v>231</v>
      </c>
      <c r="N41" s="3">
        <v>9240</v>
      </c>
      <c r="O41" s="3">
        <v>14.29</v>
      </c>
      <c r="P41" s="2">
        <v>0.64280000000000004</v>
      </c>
      <c r="Q41">
        <v>1934</v>
      </c>
      <c r="R41">
        <v>8.3699999999999992</v>
      </c>
      <c r="S41" s="2">
        <v>0.1067</v>
      </c>
      <c r="T41" t="s">
        <v>52</v>
      </c>
      <c r="U41" t="s">
        <v>28</v>
      </c>
      <c r="V41" s="3">
        <f>retail_dataset_additional_200_rows[[#This Row],[Revenue_Week]]*retail_dataset_additional_200_rows[[#This Row],[MarginPct]]</f>
        <v>5939.4720000000007</v>
      </c>
    </row>
    <row r="42" spans="1:22" x14ac:dyDescent="0.25">
      <c r="A42" t="s">
        <v>113</v>
      </c>
      <c r="B42" t="s">
        <v>69</v>
      </c>
      <c r="C42" t="s">
        <v>70</v>
      </c>
      <c r="D42" s="1">
        <v>46174</v>
      </c>
      <c r="E42">
        <v>2025</v>
      </c>
      <c r="F42" t="s">
        <v>32</v>
      </c>
      <c r="G42" s="3">
        <v>40</v>
      </c>
      <c r="H42" s="3">
        <v>40</v>
      </c>
      <c r="I42" s="2">
        <v>0</v>
      </c>
      <c r="J42" t="s">
        <v>33</v>
      </c>
      <c r="K42" t="s">
        <v>34</v>
      </c>
      <c r="L42" s="1">
        <v>46063</v>
      </c>
      <c r="M42">
        <v>636</v>
      </c>
      <c r="N42" s="3">
        <v>25440</v>
      </c>
      <c r="O42" s="3">
        <v>15.7</v>
      </c>
      <c r="P42" s="2">
        <v>0.60750000000000004</v>
      </c>
      <c r="Q42">
        <v>311</v>
      </c>
      <c r="R42">
        <v>0.49</v>
      </c>
      <c r="S42" s="2">
        <v>0.67159999999999997</v>
      </c>
      <c r="T42" t="s">
        <v>52</v>
      </c>
      <c r="U42" t="s">
        <v>40</v>
      </c>
      <c r="V42" s="3">
        <f>retail_dataset_additional_200_rows[[#This Row],[Revenue_Week]]*retail_dataset_additional_200_rows[[#This Row],[MarginPct]]</f>
        <v>15454.800000000001</v>
      </c>
    </row>
    <row r="43" spans="1:22" x14ac:dyDescent="0.25">
      <c r="A43" t="s">
        <v>114</v>
      </c>
      <c r="B43" t="s">
        <v>98</v>
      </c>
      <c r="C43" t="s">
        <v>115</v>
      </c>
      <c r="D43" s="1">
        <v>46174</v>
      </c>
      <c r="E43">
        <v>2023</v>
      </c>
      <c r="F43" t="s">
        <v>32</v>
      </c>
      <c r="G43" s="3">
        <v>50</v>
      </c>
      <c r="H43" s="3">
        <v>50</v>
      </c>
      <c r="I43" s="2">
        <v>0</v>
      </c>
      <c r="J43" t="s">
        <v>33</v>
      </c>
      <c r="K43" t="s">
        <v>34</v>
      </c>
      <c r="L43" s="1">
        <v>46057</v>
      </c>
      <c r="M43">
        <v>236</v>
      </c>
      <c r="N43" s="3">
        <v>11800</v>
      </c>
      <c r="O43" s="3">
        <v>26.94</v>
      </c>
      <c r="P43" s="2">
        <v>0.4612</v>
      </c>
      <c r="Q43">
        <v>1280</v>
      </c>
      <c r="R43">
        <v>5.42</v>
      </c>
      <c r="S43" s="2">
        <v>0.15570000000000001</v>
      </c>
      <c r="T43" t="s">
        <v>52</v>
      </c>
      <c r="U43" t="s">
        <v>40</v>
      </c>
      <c r="V43" s="3">
        <f>retail_dataset_additional_200_rows[[#This Row],[Revenue_Week]]*retail_dataset_additional_200_rows[[#This Row],[MarginPct]]</f>
        <v>5442.16</v>
      </c>
    </row>
    <row r="44" spans="1:22" x14ac:dyDescent="0.25">
      <c r="A44" t="s">
        <v>116</v>
      </c>
      <c r="B44" t="s">
        <v>50</v>
      </c>
      <c r="C44" t="s">
        <v>83</v>
      </c>
      <c r="D44" s="1">
        <v>46357</v>
      </c>
      <c r="E44">
        <v>2023</v>
      </c>
      <c r="F44" t="s">
        <v>32</v>
      </c>
      <c r="G44" s="3">
        <v>45</v>
      </c>
      <c r="H44" s="3">
        <v>45</v>
      </c>
      <c r="I44" s="2">
        <v>0</v>
      </c>
      <c r="J44" t="s">
        <v>33</v>
      </c>
      <c r="K44" t="s">
        <v>34</v>
      </c>
      <c r="L44" s="1">
        <v>46068</v>
      </c>
      <c r="M44">
        <v>109</v>
      </c>
      <c r="N44" s="3">
        <v>4905</v>
      </c>
      <c r="O44" s="3">
        <v>20.23</v>
      </c>
      <c r="P44" s="2">
        <v>0.5504</v>
      </c>
      <c r="Q44">
        <v>965</v>
      </c>
      <c r="R44">
        <v>8.85</v>
      </c>
      <c r="S44" s="2">
        <v>0.10150000000000001</v>
      </c>
      <c r="T44" t="s">
        <v>52</v>
      </c>
      <c r="U44" t="s">
        <v>67</v>
      </c>
      <c r="V44" s="3">
        <f>retail_dataset_additional_200_rows[[#This Row],[Revenue_Week]]*retail_dataset_additional_200_rows[[#This Row],[MarginPct]]</f>
        <v>2699.712</v>
      </c>
    </row>
    <row r="45" spans="1:22" x14ac:dyDescent="0.25">
      <c r="A45" t="s">
        <v>117</v>
      </c>
      <c r="B45" t="s">
        <v>56</v>
      </c>
      <c r="C45" t="s">
        <v>57</v>
      </c>
      <c r="D45" s="1">
        <v>46235</v>
      </c>
      <c r="E45">
        <v>2023</v>
      </c>
      <c r="F45" t="s">
        <v>32</v>
      </c>
      <c r="G45" s="3">
        <v>120</v>
      </c>
      <c r="H45" s="3">
        <v>120</v>
      </c>
      <c r="I45" s="2">
        <v>0</v>
      </c>
      <c r="J45" t="s">
        <v>33</v>
      </c>
      <c r="K45" t="s">
        <v>34</v>
      </c>
      <c r="L45" s="1">
        <v>46064</v>
      </c>
      <c r="M45">
        <v>274</v>
      </c>
      <c r="N45" s="3">
        <v>32880</v>
      </c>
      <c r="O45" s="3">
        <v>67.75</v>
      </c>
      <c r="P45" s="2">
        <v>0.43540000000000001</v>
      </c>
      <c r="Q45">
        <v>1626</v>
      </c>
      <c r="R45">
        <v>5.93</v>
      </c>
      <c r="S45" s="2">
        <v>0.14419999999999999</v>
      </c>
      <c r="T45" t="s">
        <v>39</v>
      </c>
      <c r="U45" t="s">
        <v>28</v>
      </c>
      <c r="V45" s="3">
        <f>retail_dataset_additional_200_rows[[#This Row],[Revenue_Week]]*retail_dataset_additional_200_rows[[#This Row],[MarginPct]]</f>
        <v>14315.952000000001</v>
      </c>
    </row>
    <row r="46" spans="1:22" x14ac:dyDescent="0.25">
      <c r="A46" t="s">
        <v>118</v>
      </c>
      <c r="B46" t="s">
        <v>65</v>
      </c>
      <c r="C46" t="s">
        <v>119</v>
      </c>
      <c r="D46" s="1">
        <v>46174</v>
      </c>
      <c r="E46">
        <v>2023</v>
      </c>
      <c r="F46" t="s">
        <v>24</v>
      </c>
      <c r="G46" s="3">
        <v>70</v>
      </c>
      <c r="H46" s="3">
        <v>56</v>
      </c>
      <c r="I46" s="2">
        <v>0.2</v>
      </c>
      <c r="J46" t="s">
        <v>25</v>
      </c>
      <c r="K46" t="s">
        <v>26</v>
      </c>
      <c r="L46" s="1">
        <v>46067</v>
      </c>
      <c r="M46">
        <v>756</v>
      </c>
      <c r="N46" s="3">
        <v>42336</v>
      </c>
      <c r="O46" s="3">
        <v>33.619999999999997</v>
      </c>
      <c r="P46" s="2">
        <v>0.39960000000000001</v>
      </c>
      <c r="Q46">
        <v>1815</v>
      </c>
      <c r="R46">
        <v>2.4</v>
      </c>
      <c r="S46" s="2">
        <v>0.29399999999999998</v>
      </c>
      <c r="T46" t="s">
        <v>52</v>
      </c>
      <c r="U46" t="s">
        <v>35</v>
      </c>
      <c r="V46" s="3">
        <f>retail_dataset_additional_200_rows[[#This Row],[Revenue_Week]]*retail_dataset_additional_200_rows[[#This Row],[MarginPct]]</f>
        <v>16917.4656</v>
      </c>
    </row>
    <row r="47" spans="1:22" x14ac:dyDescent="0.25">
      <c r="A47" t="s">
        <v>120</v>
      </c>
      <c r="B47" t="s">
        <v>37</v>
      </c>
      <c r="C47" t="s">
        <v>80</v>
      </c>
      <c r="D47" s="1">
        <v>46357</v>
      </c>
      <c r="E47">
        <v>2025</v>
      </c>
      <c r="F47" t="s">
        <v>32</v>
      </c>
      <c r="G47" s="3">
        <v>80</v>
      </c>
      <c r="H47" s="3">
        <v>80</v>
      </c>
      <c r="I47" s="2">
        <v>0</v>
      </c>
      <c r="J47" t="s">
        <v>33</v>
      </c>
      <c r="K47" t="s">
        <v>34</v>
      </c>
      <c r="L47" s="1">
        <v>46067</v>
      </c>
      <c r="M47">
        <v>674</v>
      </c>
      <c r="N47" s="3">
        <v>53920</v>
      </c>
      <c r="O47" s="3">
        <v>28.13</v>
      </c>
      <c r="P47" s="2">
        <v>0.64839999999999998</v>
      </c>
      <c r="Q47">
        <v>1404</v>
      </c>
      <c r="R47">
        <v>2.08</v>
      </c>
      <c r="S47" s="2">
        <v>0.32440000000000002</v>
      </c>
      <c r="T47" t="s">
        <v>27</v>
      </c>
      <c r="U47" t="s">
        <v>40</v>
      </c>
      <c r="V47" s="3">
        <f>retail_dataset_additional_200_rows[[#This Row],[Revenue_Week]]*retail_dataset_additional_200_rows[[#This Row],[MarginPct]]</f>
        <v>34961.727999999996</v>
      </c>
    </row>
    <row r="48" spans="1:22" x14ac:dyDescent="0.25">
      <c r="A48" t="s">
        <v>121</v>
      </c>
      <c r="B48" t="s">
        <v>62</v>
      </c>
      <c r="C48" t="s">
        <v>63</v>
      </c>
      <c r="D48" s="1">
        <v>46143</v>
      </c>
      <c r="E48">
        <v>2024</v>
      </c>
      <c r="F48" t="s">
        <v>32</v>
      </c>
      <c r="G48" s="3">
        <v>150</v>
      </c>
      <c r="H48" s="3">
        <v>150</v>
      </c>
      <c r="I48" s="2">
        <v>0</v>
      </c>
      <c r="J48" t="s">
        <v>33</v>
      </c>
      <c r="K48" t="s">
        <v>34</v>
      </c>
      <c r="L48" s="1">
        <v>46063</v>
      </c>
      <c r="M48">
        <v>680</v>
      </c>
      <c r="N48" s="3">
        <v>102000</v>
      </c>
      <c r="O48" s="3">
        <v>84.74</v>
      </c>
      <c r="P48" s="2">
        <v>0.43509999999999999</v>
      </c>
      <c r="Q48">
        <v>1685</v>
      </c>
      <c r="R48">
        <v>2.48</v>
      </c>
      <c r="S48" s="2">
        <v>0.28749999999999998</v>
      </c>
      <c r="T48" t="s">
        <v>52</v>
      </c>
      <c r="U48" t="s">
        <v>28</v>
      </c>
      <c r="V48" s="3">
        <f>retail_dataset_additional_200_rows[[#This Row],[Revenue_Week]]*retail_dataset_additional_200_rows[[#This Row],[MarginPct]]</f>
        <v>44380.2</v>
      </c>
    </row>
    <row r="49" spans="1:22" x14ac:dyDescent="0.25">
      <c r="A49" t="s">
        <v>122</v>
      </c>
      <c r="B49" t="s">
        <v>65</v>
      </c>
      <c r="C49" t="s">
        <v>66</v>
      </c>
      <c r="D49" s="1">
        <v>46266</v>
      </c>
      <c r="E49">
        <v>2023</v>
      </c>
      <c r="F49" t="s">
        <v>24</v>
      </c>
      <c r="G49" s="3">
        <v>30</v>
      </c>
      <c r="H49" s="3">
        <v>24</v>
      </c>
      <c r="I49" s="2">
        <v>0.2</v>
      </c>
      <c r="J49" t="s">
        <v>25</v>
      </c>
      <c r="K49" t="s">
        <v>26</v>
      </c>
      <c r="L49" s="1">
        <v>46059</v>
      </c>
      <c r="M49">
        <v>242</v>
      </c>
      <c r="N49" s="3">
        <v>5808</v>
      </c>
      <c r="O49" s="3">
        <v>16.7</v>
      </c>
      <c r="P49" s="2">
        <v>0.30420000000000003</v>
      </c>
      <c r="Q49">
        <v>1411</v>
      </c>
      <c r="R49">
        <v>5.83</v>
      </c>
      <c r="S49" s="2">
        <v>0.1464</v>
      </c>
      <c r="T49" t="s">
        <v>39</v>
      </c>
      <c r="U49" t="s">
        <v>35</v>
      </c>
      <c r="V49" s="3">
        <f>retail_dataset_additional_200_rows[[#This Row],[Revenue_Week]]*retail_dataset_additional_200_rows[[#This Row],[MarginPct]]</f>
        <v>1766.7936000000002</v>
      </c>
    </row>
    <row r="50" spans="1:22" x14ac:dyDescent="0.25">
      <c r="A50" t="s">
        <v>123</v>
      </c>
      <c r="B50" t="s">
        <v>43</v>
      </c>
      <c r="C50" t="s">
        <v>88</v>
      </c>
      <c r="D50" s="1">
        <v>46082</v>
      </c>
      <c r="E50">
        <v>2024</v>
      </c>
      <c r="F50" t="s">
        <v>32</v>
      </c>
      <c r="G50" s="3">
        <v>50</v>
      </c>
      <c r="H50" s="3">
        <v>50</v>
      </c>
      <c r="I50" s="2">
        <v>0</v>
      </c>
      <c r="J50" t="s">
        <v>33</v>
      </c>
      <c r="K50" t="s">
        <v>34</v>
      </c>
      <c r="L50" s="1">
        <v>46066</v>
      </c>
      <c r="M50">
        <v>475</v>
      </c>
      <c r="N50" s="3">
        <v>23750</v>
      </c>
      <c r="O50" s="3">
        <v>25.65</v>
      </c>
      <c r="P50" s="2">
        <v>0.48699999999999999</v>
      </c>
      <c r="Q50">
        <v>927</v>
      </c>
      <c r="R50">
        <v>1.95</v>
      </c>
      <c r="S50" s="2">
        <v>0.33879999999999999</v>
      </c>
      <c r="T50" t="s">
        <v>39</v>
      </c>
      <c r="U50" t="s">
        <v>28</v>
      </c>
      <c r="V50" s="3">
        <f>retail_dataset_additional_200_rows[[#This Row],[Revenue_Week]]*retail_dataset_additional_200_rows[[#This Row],[MarginPct]]</f>
        <v>11566.25</v>
      </c>
    </row>
    <row r="51" spans="1:22" x14ac:dyDescent="0.25">
      <c r="A51" t="s">
        <v>124</v>
      </c>
      <c r="B51" t="s">
        <v>42</v>
      </c>
      <c r="C51" t="s">
        <v>43</v>
      </c>
      <c r="D51" s="1">
        <v>46235</v>
      </c>
      <c r="E51">
        <v>2025</v>
      </c>
      <c r="F51" t="s">
        <v>32</v>
      </c>
      <c r="G51" s="3">
        <v>70</v>
      </c>
      <c r="H51" s="3">
        <v>70</v>
      </c>
      <c r="I51" s="2">
        <v>0</v>
      </c>
      <c r="J51" t="s">
        <v>33</v>
      </c>
      <c r="K51" t="s">
        <v>34</v>
      </c>
      <c r="L51" s="1">
        <v>46060</v>
      </c>
      <c r="M51">
        <v>659</v>
      </c>
      <c r="N51" s="3">
        <v>46130</v>
      </c>
      <c r="O51" s="3">
        <v>26.71</v>
      </c>
      <c r="P51" s="2">
        <v>0.61839999999999995</v>
      </c>
      <c r="Q51">
        <v>845</v>
      </c>
      <c r="R51">
        <v>1.28</v>
      </c>
      <c r="S51" s="2">
        <v>0.43819999999999998</v>
      </c>
      <c r="T51" t="s">
        <v>52</v>
      </c>
      <c r="U51" t="s">
        <v>40</v>
      </c>
      <c r="V51" s="3">
        <f>retail_dataset_additional_200_rows[[#This Row],[Revenue_Week]]*retail_dataset_additional_200_rows[[#This Row],[MarginPct]]</f>
        <v>28526.791999999998</v>
      </c>
    </row>
    <row r="52" spans="1:22" x14ac:dyDescent="0.25">
      <c r="A52" t="s">
        <v>125</v>
      </c>
      <c r="B52" t="s">
        <v>56</v>
      </c>
      <c r="C52" t="s">
        <v>126</v>
      </c>
      <c r="D52" s="1">
        <v>46357</v>
      </c>
      <c r="E52">
        <v>2023</v>
      </c>
      <c r="F52" t="s">
        <v>24</v>
      </c>
      <c r="G52" s="3">
        <v>70</v>
      </c>
      <c r="H52" s="3">
        <v>56</v>
      </c>
      <c r="I52" s="2">
        <v>0.2</v>
      </c>
      <c r="J52" t="s">
        <v>25</v>
      </c>
      <c r="K52" t="s">
        <v>26</v>
      </c>
      <c r="L52" s="1">
        <v>46062</v>
      </c>
      <c r="M52">
        <v>294</v>
      </c>
      <c r="N52" s="3">
        <v>16464</v>
      </c>
      <c r="O52" s="3">
        <v>36.67</v>
      </c>
      <c r="P52" s="2">
        <v>0.34520000000000001</v>
      </c>
      <c r="Q52">
        <v>1430</v>
      </c>
      <c r="R52">
        <v>4.8600000000000003</v>
      </c>
      <c r="S52" s="2">
        <v>0.17050000000000001</v>
      </c>
      <c r="T52" t="s">
        <v>39</v>
      </c>
      <c r="U52" t="s">
        <v>28</v>
      </c>
      <c r="V52" s="3">
        <f>retail_dataset_additional_200_rows[[#This Row],[Revenue_Week]]*retail_dataset_additional_200_rows[[#This Row],[MarginPct]]</f>
        <v>5683.3728000000001</v>
      </c>
    </row>
    <row r="53" spans="1:22" x14ac:dyDescent="0.25">
      <c r="A53" t="s">
        <v>127</v>
      </c>
      <c r="B53" t="s">
        <v>30</v>
      </c>
      <c r="C53" t="s">
        <v>128</v>
      </c>
      <c r="D53" s="1">
        <v>46143</v>
      </c>
      <c r="E53">
        <v>2025</v>
      </c>
      <c r="F53" t="s">
        <v>24</v>
      </c>
      <c r="G53" s="3">
        <v>60</v>
      </c>
      <c r="H53" s="3">
        <v>48</v>
      </c>
      <c r="I53" s="2">
        <v>0.2</v>
      </c>
      <c r="J53" t="s">
        <v>25</v>
      </c>
      <c r="K53" t="s">
        <v>26</v>
      </c>
      <c r="L53" s="1">
        <v>46066</v>
      </c>
      <c r="M53">
        <v>87</v>
      </c>
      <c r="N53" s="3">
        <v>4176</v>
      </c>
      <c r="O53" s="3">
        <v>23.15</v>
      </c>
      <c r="P53" s="2">
        <v>0.51770000000000005</v>
      </c>
      <c r="Q53">
        <v>883</v>
      </c>
      <c r="R53">
        <v>10.15</v>
      </c>
      <c r="S53" s="2">
        <v>8.9700000000000002E-2</v>
      </c>
      <c r="T53" t="s">
        <v>27</v>
      </c>
      <c r="U53" t="s">
        <v>28</v>
      </c>
      <c r="V53" s="3">
        <f>retail_dataset_additional_200_rows[[#This Row],[Revenue_Week]]*retail_dataset_additional_200_rows[[#This Row],[MarginPct]]</f>
        <v>2161.9152000000004</v>
      </c>
    </row>
    <row r="54" spans="1:22" x14ac:dyDescent="0.25">
      <c r="A54" t="s">
        <v>129</v>
      </c>
      <c r="B54" t="s">
        <v>98</v>
      </c>
      <c r="C54" t="s">
        <v>99</v>
      </c>
      <c r="D54" s="1">
        <v>46266</v>
      </c>
      <c r="E54">
        <v>2025</v>
      </c>
      <c r="F54" t="s">
        <v>32</v>
      </c>
      <c r="G54" s="3">
        <v>50</v>
      </c>
      <c r="H54" s="3">
        <v>50</v>
      </c>
      <c r="I54" s="2">
        <v>0</v>
      </c>
      <c r="J54" t="s">
        <v>33</v>
      </c>
      <c r="K54" t="s">
        <v>34</v>
      </c>
      <c r="L54" s="1">
        <v>46066</v>
      </c>
      <c r="M54">
        <v>703</v>
      </c>
      <c r="N54" s="3">
        <v>35150</v>
      </c>
      <c r="O54" s="3">
        <v>29.04</v>
      </c>
      <c r="P54" s="2">
        <v>0.41920000000000002</v>
      </c>
      <c r="Q54">
        <v>1867</v>
      </c>
      <c r="R54">
        <v>2.66</v>
      </c>
      <c r="S54" s="2">
        <v>0.27350000000000002</v>
      </c>
      <c r="T54" t="s">
        <v>27</v>
      </c>
      <c r="U54" t="s">
        <v>67</v>
      </c>
      <c r="V54" s="3">
        <f>retail_dataset_additional_200_rows[[#This Row],[Revenue_Week]]*retail_dataset_additional_200_rows[[#This Row],[MarginPct]]</f>
        <v>14734.880000000001</v>
      </c>
    </row>
    <row r="55" spans="1:22" x14ac:dyDescent="0.25">
      <c r="A55" t="s">
        <v>130</v>
      </c>
      <c r="B55" t="s">
        <v>30</v>
      </c>
      <c r="C55" t="s">
        <v>128</v>
      </c>
      <c r="D55" s="1">
        <v>46023</v>
      </c>
      <c r="E55">
        <v>2023</v>
      </c>
      <c r="F55" t="s">
        <v>32</v>
      </c>
      <c r="G55" s="3">
        <v>30</v>
      </c>
      <c r="H55" s="3">
        <v>30</v>
      </c>
      <c r="I55" s="2">
        <v>0</v>
      </c>
      <c r="J55" t="s">
        <v>33</v>
      </c>
      <c r="K55" t="s">
        <v>34</v>
      </c>
      <c r="L55" s="1">
        <v>46062</v>
      </c>
      <c r="M55">
        <v>362</v>
      </c>
      <c r="N55" s="3">
        <v>10860</v>
      </c>
      <c r="O55" s="3">
        <v>14.92</v>
      </c>
      <c r="P55" s="2">
        <v>0.50270000000000004</v>
      </c>
      <c r="Q55">
        <v>513</v>
      </c>
      <c r="R55">
        <v>1.42</v>
      </c>
      <c r="S55" s="2">
        <v>0.41370000000000001</v>
      </c>
      <c r="T55" t="s">
        <v>27</v>
      </c>
      <c r="U55" t="s">
        <v>35</v>
      </c>
      <c r="V55" s="3">
        <f>retail_dataset_additional_200_rows[[#This Row],[Revenue_Week]]*retail_dataset_additional_200_rows[[#This Row],[MarginPct]]</f>
        <v>5459.3220000000001</v>
      </c>
    </row>
    <row r="56" spans="1:22" x14ac:dyDescent="0.25">
      <c r="A56" t="s">
        <v>131</v>
      </c>
      <c r="B56" t="s">
        <v>59</v>
      </c>
      <c r="C56" t="s">
        <v>72</v>
      </c>
      <c r="D56" s="1">
        <v>46113</v>
      </c>
      <c r="E56">
        <v>2025</v>
      </c>
      <c r="F56" t="s">
        <v>32</v>
      </c>
      <c r="G56" s="3">
        <v>40</v>
      </c>
      <c r="H56" s="3">
        <v>40</v>
      </c>
      <c r="I56" s="2">
        <v>0</v>
      </c>
      <c r="J56" t="s">
        <v>33</v>
      </c>
      <c r="K56" t="s">
        <v>34</v>
      </c>
      <c r="L56" s="1">
        <v>46058</v>
      </c>
      <c r="M56">
        <v>794</v>
      </c>
      <c r="N56" s="3">
        <v>31760</v>
      </c>
      <c r="O56" s="3">
        <v>23.3</v>
      </c>
      <c r="P56" s="2">
        <v>0.41749999999999998</v>
      </c>
      <c r="Q56">
        <v>1884</v>
      </c>
      <c r="R56">
        <v>2.37</v>
      </c>
      <c r="S56" s="2">
        <v>0.29649999999999999</v>
      </c>
      <c r="T56" t="s">
        <v>27</v>
      </c>
      <c r="U56" t="s">
        <v>67</v>
      </c>
      <c r="V56" s="3">
        <f>retail_dataset_additional_200_rows[[#This Row],[Revenue_Week]]*retail_dataset_additional_200_rows[[#This Row],[MarginPct]]</f>
        <v>13259.8</v>
      </c>
    </row>
    <row r="57" spans="1:22" x14ac:dyDescent="0.25">
      <c r="A57" t="s">
        <v>132</v>
      </c>
      <c r="B57" t="s">
        <v>59</v>
      </c>
      <c r="C57" t="s">
        <v>72</v>
      </c>
      <c r="D57" s="1">
        <v>46082</v>
      </c>
      <c r="E57">
        <v>2023</v>
      </c>
      <c r="F57" t="s">
        <v>32</v>
      </c>
      <c r="G57" s="3">
        <v>25</v>
      </c>
      <c r="H57" s="3">
        <v>25</v>
      </c>
      <c r="I57" s="2">
        <v>0</v>
      </c>
      <c r="J57" t="s">
        <v>33</v>
      </c>
      <c r="K57" t="s">
        <v>34</v>
      </c>
      <c r="L57" s="1">
        <v>46059</v>
      </c>
      <c r="M57">
        <v>334</v>
      </c>
      <c r="N57" s="3">
        <v>8350</v>
      </c>
      <c r="O57" s="3">
        <v>12.49</v>
      </c>
      <c r="P57" s="2">
        <v>0.50039999999999996</v>
      </c>
      <c r="Q57">
        <v>1650</v>
      </c>
      <c r="R57">
        <v>4.9400000000000004</v>
      </c>
      <c r="S57" s="2">
        <v>0.16830000000000001</v>
      </c>
      <c r="T57" t="s">
        <v>27</v>
      </c>
      <c r="U57" t="s">
        <v>28</v>
      </c>
      <c r="V57" s="3">
        <f>retail_dataset_additional_200_rows[[#This Row],[Revenue_Week]]*retail_dataset_additional_200_rows[[#This Row],[MarginPct]]</f>
        <v>4178.3399999999992</v>
      </c>
    </row>
    <row r="58" spans="1:22" x14ac:dyDescent="0.25">
      <c r="A58" t="s">
        <v>133</v>
      </c>
      <c r="B58" t="s">
        <v>22</v>
      </c>
      <c r="C58" t="s">
        <v>23</v>
      </c>
      <c r="D58" s="1">
        <v>46357</v>
      </c>
      <c r="E58">
        <v>2023</v>
      </c>
      <c r="F58" t="s">
        <v>24</v>
      </c>
      <c r="G58" s="3">
        <v>40</v>
      </c>
      <c r="H58" s="3">
        <v>32</v>
      </c>
      <c r="I58" s="2">
        <v>0.2</v>
      </c>
      <c r="J58" t="s">
        <v>25</v>
      </c>
      <c r="K58" t="s">
        <v>45</v>
      </c>
      <c r="L58" s="1">
        <v>46066</v>
      </c>
      <c r="M58">
        <v>698</v>
      </c>
      <c r="N58" s="3">
        <v>22336</v>
      </c>
      <c r="O58" s="3">
        <v>16.97</v>
      </c>
      <c r="P58" s="2">
        <v>0.46970000000000001</v>
      </c>
      <c r="Q58">
        <v>1024</v>
      </c>
      <c r="R58">
        <v>1.47</v>
      </c>
      <c r="S58" s="2">
        <v>0.40529999999999999</v>
      </c>
      <c r="T58" t="s">
        <v>27</v>
      </c>
      <c r="U58" t="s">
        <v>40</v>
      </c>
      <c r="V58" s="3">
        <f>retail_dataset_additional_200_rows[[#This Row],[Revenue_Week]]*retail_dataset_additional_200_rows[[#This Row],[MarginPct]]</f>
        <v>10491.2192</v>
      </c>
    </row>
    <row r="59" spans="1:22" x14ac:dyDescent="0.25">
      <c r="A59" t="s">
        <v>134</v>
      </c>
      <c r="B59" t="s">
        <v>135</v>
      </c>
      <c r="C59" t="s">
        <v>136</v>
      </c>
      <c r="D59" s="1">
        <v>46023</v>
      </c>
      <c r="E59">
        <v>2024</v>
      </c>
      <c r="F59" t="s">
        <v>32</v>
      </c>
      <c r="G59" s="3">
        <v>120</v>
      </c>
      <c r="H59" s="3">
        <v>120</v>
      </c>
      <c r="I59" s="2">
        <v>0</v>
      </c>
      <c r="J59" t="s">
        <v>33</v>
      </c>
      <c r="K59" t="s">
        <v>34</v>
      </c>
      <c r="L59" s="1">
        <v>46062</v>
      </c>
      <c r="M59">
        <v>97</v>
      </c>
      <c r="N59" s="3">
        <v>11640</v>
      </c>
      <c r="O59" s="3">
        <v>57.87</v>
      </c>
      <c r="P59" s="2">
        <v>0.51780000000000004</v>
      </c>
      <c r="Q59">
        <v>1800</v>
      </c>
      <c r="R59">
        <v>18.559999999999999</v>
      </c>
      <c r="S59" s="2">
        <v>5.11E-2</v>
      </c>
      <c r="T59" t="s">
        <v>39</v>
      </c>
      <c r="U59" t="s">
        <v>35</v>
      </c>
      <c r="V59" s="3">
        <f>retail_dataset_additional_200_rows[[#This Row],[Revenue_Week]]*retail_dataset_additional_200_rows[[#This Row],[MarginPct]]</f>
        <v>6027.192</v>
      </c>
    </row>
    <row r="60" spans="1:22" x14ac:dyDescent="0.25">
      <c r="A60" t="s">
        <v>137</v>
      </c>
      <c r="B60" t="s">
        <v>30</v>
      </c>
      <c r="C60" t="s">
        <v>128</v>
      </c>
      <c r="D60" s="1">
        <v>46357</v>
      </c>
      <c r="E60">
        <v>2025</v>
      </c>
      <c r="F60" t="s">
        <v>32</v>
      </c>
      <c r="G60" s="3">
        <v>150</v>
      </c>
      <c r="H60" s="3">
        <v>150</v>
      </c>
      <c r="I60" s="2">
        <v>0</v>
      </c>
      <c r="J60" t="s">
        <v>33</v>
      </c>
      <c r="K60" t="s">
        <v>34</v>
      </c>
      <c r="L60" s="1">
        <v>46065</v>
      </c>
      <c r="M60">
        <v>593</v>
      </c>
      <c r="N60" s="3">
        <v>88950</v>
      </c>
      <c r="O60" s="3">
        <v>66.03</v>
      </c>
      <c r="P60" s="2">
        <v>0.55979999999999996</v>
      </c>
      <c r="Q60">
        <v>1347</v>
      </c>
      <c r="R60">
        <v>2.27</v>
      </c>
      <c r="S60" s="2">
        <v>0.30570000000000003</v>
      </c>
      <c r="T60" t="s">
        <v>39</v>
      </c>
      <c r="U60" t="s">
        <v>35</v>
      </c>
      <c r="V60" s="3">
        <f>retail_dataset_additional_200_rows[[#This Row],[Revenue_Week]]*retail_dataset_additional_200_rows[[#This Row],[MarginPct]]</f>
        <v>49794.21</v>
      </c>
    </row>
    <row r="61" spans="1:22" x14ac:dyDescent="0.25">
      <c r="A61" t="s">
        <v>138</v>
      </c>
      <c r="B61" t="s">
        <v>56</v>
      </c>
      <c r="C61" t="s">
        <v>139</v>
      </c>
      <c r="D61" s="1">
        <v>46082</v>
      </c>
      <c r="E61">
        <v>2024</v>
      </c>
      <c r="F61" t="s">
        <v>32</v>
      </c>
      <c r="G61" s="3">
        <v>80</v>
      </c>
      <c r="H61" s="3">
        <v>80</v>
      </c>
      <c r="I61" s="2">
        <v>0</v>
      </c>
      <c r="J61" t="s">
        <v>33</v>
      </c>
      <c r="K61" t="s">
        <v>34</v>
      </c>
      <c r="L61" s="1">
        <v>46065</v>
      </c>
      <c r="M61">
        <v>766</v>
      </c>
      <c r="N61" s="3">
        <v>61280</v>
      </c>
      <c r="O61" s="3">
        <v>46.12</v>
      </c>
      <c r="P61" s="2">
        <v>0.42349999999999999</v>
      </c>
      <c r="Q61">
        <v>1372</v>
      </c>
      <c r="R61">
        <v>1.79</v>
      </c>
      <c r="S61" s="2">
        <v>0.35830000000000001</v>
      </c>
      <c r="T61" t="s">
        <v>39</v>
      </c>
      <c r="U61" t="s">
        <v>67</v>
      </c>
      <c r="V61" s="3">
        <f>retail_dataset_additional_200_rows[[#This Row],[Revenue_Week]]*retail_dataset_additional_200_rows[[#This Row],[MarginPct]]</f>
        <v>25952.079999999998</v>
      </c>
    </row>
    <row r="62" spans="1:22" x14ac:dyDescent="0.25">
      <c r="A62" t="s">
        <v>140</v>
      </c>
      <c r="B62" t="s">
        <v>47</v>
      </c>
      <c r="C62" t="s">
        <v>105</v>
      </c>
      <c r="D62" s="1">
        <v>46357</v>
      </c>
      <c r="E62">
        <v>2023</v>
      </c>
      <c r="F62" t="s">
        <v>24</v>
      </c>
      <c r="G62" s="3">
        <v>75</v>
      </c>
      <c r="H62" s="3">
        <v>60</v>
      </c>
      <c r="I62" s="2">
        <v>0.2</v>
      </c>
      <c r="J62" t="s">
        <v>25</v>
      </c>
      <c r="K62" t="s">
        <v>26</v>
      </c>
      <c r="L62" s="1">
        <v>46067</v>
      </c>
      <c r="M62">
        <v>697</v>
      </c>
      <c r="N62" s="3">
        <v>41820</v>
      </c>
      <c r="O62" s="3">
        <v>39.200000000000003</v>
      </c>
      <c r="P62" s="2">
        <v>0.34670000000000001</v>
      </c>
      <c r="Q62">
        <v>1197</v>
      </c>
      <c r="R62">
        <v>1.72</v>
      </c>
      <c r="S62" s="2">
        <v>0.36799999999999999</v>
      </c>
      <c r="T62" t="s">
        <v>39</v>
      </c>
      <c r="U62" t="s">
        <v>28</v>
      </c>
      <c r="V62" s="3">
        <f>retail_dataset_additional_200_rows[[#This Row],[Revenue_Week]]*retail_dataset_additional_200_rows[[#This Row],[MarginPct]]</f>
        <v>14498.994000000001</v>
      </c>
    </row>
    <row r="63" spans="1:22" x14ac:dyDescent="0.25">
      <c r="A63" t="s">
        <v>141</v>
      </c>
      <c r="B63" t="s">
        <v>135</v>
      </c>
      <c r="C63" t="s">
        <v>50</v>
      </c>
      <c r="D63" s="1">
        <v>46266</v>
      </c>
      <c r="E63">
        <v>2025</v>
      </c>
      <c r="F63" t="s">
        <v>24</v>
      </c>
      <c r="G63" s="3">
        <v>75</v>
      </c>
      <c r="H63" s="3">
        <v>60</v>
      </c>
      <c r="I63" s="2">
        <v>0.2</v>
      </c>
      <c r="J63" t="s">
        <v>25</v>
      </c>
      <c r="K63" t="s">
        <v>26</v>
      </c>
      <c r="L63" s="1">
        <v>46058</v>
      </c>
      <c r="M63">
        <v>321</v>
      </c>
      <c r="N63" s="3">
        <v>19260</v>
      </c>
      <c r="O63" s="3">
        <v>44.14</v>
      </c>
      <c r="P63" s="2">
        <v>0.26429999999999998</v>
      </c>
      <c r="Q63">
        <v>749</v>
      </c>
      <c r="R63">
        <v>2.33</v>
      </c>
      <c r="S63" s="2">
        <v>0.3</v>
      </c>
      <c r="T63" t="s">
        <v>52</v>
      </c>
      <c r="U63" t="s">
        <v>67</v>
      </c>
      <c r="V63" s="3">
        <f>retail_dataset_additional_200_rows[[#This Row],[Revenue_Week]]*retail_dataset_additional_200_rows[[#This Row],[MarginPct]]</f>
        <v>5090.4179999999997</v>
      </c>
    </row>
    <row r="64" spans="1:22" x14ac:dyDescent="0.25">
      <c r="A64" t="s">
        <v>142</v>
      </c>
      <c r="B64" t="s">
        <v>50</v>
      </c>
      <c r="C64" t="s">
        <v>143</v>
      </c>
      <c r="D64" s="1">
        <v>46266</v>
      </c>
      <c r="E64">
        <v>2025</v>
      </c>
      <c r="F64" t="s">
        <v>24</v>
      </c>
      <c r="G64" s="3">
        <v>65</v>
      </c>
      <c r="H64" s="3">
        <v>52</v>
      </c>
      <c r="I64" s="2">
        <v>0.2</v>
      </c>
      <c r="J64" t="s">
        <v>25</v>
      </c>
      <c r="K64" t="s">
        <v>26</v>
      </c>
      <c r="L64" s="1">
        <v>46066</v>
      </c>
      <c r="M64">
        <v>676</v>
      </c>
      <c r="N64" s="3">
        <v>35152</v>
      </c>
      <c r="O64" s="3">
        <v>23.25</v>
      </c>
      <c r="P64" s="2">
        <v>0.55289999999999995</v>
      </c>
      <c r="Q64">
        <v>1998</v>
      </c>
      <c r="R64">
        <v>2.96</v>
      </c>
      <c r="S64" s="2">
        <v>0.25280000000000002</v>
      </c>
      <c r="T64" t="s">
        <v>27</v>
      </c>
      <c r="U64" t="s">
        <v>67</v>
      </c>
      <c r="V64" s="3">
        <f>retail_dataset_additional_200_rows[[#This Row],[Revenue_Week]]*retail_dataset_additional_200_rows[[#This Row],[MarginPct]]</f>
        <v>19435.540799999999</v>
      </c>
    </row>
    <row r="65" spans="1:22" x14ac:dyDescent="0.25">
      <c r="A65" t="s">
        <v>144</v>
      </c>
      <c r="B65" t="s">
        <v>69</v>
      </c>
      <c r="C65" t="s">
        <v>70</v>
      </c>
      <c r="D65" s="1">
        <v>46174</v>
      </c>
      <c r="E65">
        <v>2025</v>
      </c>
      <c r="F65" t="s">
        <v>24</v>
      </c>
      <c r="G65" s="3">
        <v>140</v>
      </c>
      <c r="H65" s="3">
        <v>112</v>
      </c>
      <c r="I65" s="2">
        <v>0.2</v>
      </c>
      <c r="J65" t="s">
        <v>25</v>
      </c>
      <c r="K65" t="s">
        <v>26</v>
      </c>
      <c r="L65" s="1">
        <v>46060</v>
      </c>
      <c r="M65">
        <v>277</v>
      </c>
      <c r="N65" s="3">
        <v>31024</v>
      </c>
      <c r="O65" s="3">
        <v>63.13</v>
      </c>
      <c r="P65" s="2">
        <v>0.43630000000000002</v>
      </c>
      <c r="Q65">
        <v>300</v>
      </c>
      <c r="R65">
        <v>1.08</v>
      </c>
      <c r="S65" s="2">
        <v>0.48010000000000003</v>
      </c>
      <c r="T65" t="s">
        <v>39</v>
      </c>
      <c r="U65" t="s">
        <v>67</v>
      </c>
      <c r="V65" s="3">
        <f>retail_dataset_additional_200_rows[[#This Row],[Revenue_Week]]*retail_dataset_additional_200_rows[[#This Row],[MarginPct]]</f>
        <v>13535.771200000001</v>
      </c>
    </row>
    <row r="66" spans="1:22" x14ac:dyDescent="0.25">
      <c r="A66" t="s">
        <v>145</v>
      </c>
      <c r="B66" t="s">
        <v>42</v>
      </c>
      <c r="C66" t="s">
        <v>60</v>
      </c>
      <c r="D66" s="1">
        <v>46357</v>
      </c>
      <c r="E66">
        <v>2025</v>
      </c>
      <c r="F66" t="s">
        <v>32</v>
      </c>
      <c r="G66" s="3">
        <v>60</v>
      </c>
      <c r="H66" s="3">
        <v>60</v>
      </c>
      <c r="I66" s="2">
        <v>0</v>
      </c>
      <c r="J66" t="s">
        <v>33</v>
      </c>
      <c r="K66" t="s">
        <v>34</v>
      </c>
      <c r="L66" s="1">
        <v>46066</v>
      </c>
      <c r="M66">
        <v>519</v>
      </c>
      <c r="N66" s="3">
        <v>31140</v>
      </c>
      <c r="O66" s="3">
        <v>33.11</v>
      </c>
      <c r="P66" s="2">
        <v>0.44819999999999999</v>
      </c>
      <c r="Q66">
        <v>1569</v>
      </c>
      <c r="R66">
        <v>3.02</v>
      </c>
      <c r="S66" s="2">
        <v>0.24859999999999999</v>
      </c>
      <c r="T66" t="s">
        <v>39</v>
      </c>
      <c r="U66" t="s">
        <v>40</v>
      </c>
      <c r="V66" s="3">
        <f>retail_dataset_additional_200_rows[[#This Row],[Revenue_Week]]*retail_dataset_additional_200_rows[[#This Row],[MarginPct]]</f>
        <v>13956.948</v>
      </c>
    </row>
    <row r="67" spans="1:22" x14ac:dyDescent="0.25">
      <c r="A67" t="s">
        <v>146</v>
      </c>
      <c r="B67" t="s">
        <v>98</v>
      </c>
      <c r="C67" t="s">
        <v>99</v>
      </c>
      <c r="D67" s="1">
        <v>46174</v>
      </c>
      <c r="E67">
        <v>2025</v>
      </c>
      <c r="F67" t="s">
        <v>24</v>
      </c>
      <c r="G67" s="3">
        <v>45</v>
      </c>
      <c r="H67" s="3">
        <v>36</v>
      </c>
      <c r="I67" s="2">
        <v>0.2</v>
      </c>
      <c r="J67" t="s">
        <v>25</v>
      </c>
      <c r="K67" t="s">
        <v>45</v>
      </c>
      <c r="L67" s="1">
        <v>46061</v>
      </c>
      <c r="M67">
        <v>443</v>
      </c>
      <c r="N67" s="3">
        <v>15948</v>
      </c>
      <c r="O67" s="3">
        <v>26.28</v>
      </c>
      <c r="P67" s="2">
        <v>0.27</v>
      </c>
      <c r="Q67">
        <v>979</v>
      </c>
      <c r="R67">
        <v>2.21</v>
      </c>
      <c r="S67" s="2">
        <v>0.3115</v>
      </c>
      <c r="T67" t="s">
        <v>52</v>
      </c>
      <c r="U67" t="s">
        <v>40</v>
      </c>
      <c r="V67" s="3">
        <f>retail_dataset_additional_200_rows[[#This Row],[Revenue_Week]]*retail_dataset_additional_200_rows[[#This Row],[MarginPct]]</f>
        <v>4305.96</v>
      </c>
    </row>
    <row r="68" spans="1:22" x14ac:dyDescent="0.25">
      <c r="A68" t="s">
        <v>147</v>
      </c>
      <c r="B68" t="s">
        <v>69</v>
      </c>
      <c r="C68" t="s">
        <v>74</v>
      </c>
      <c r="D68" s="1">
        <v>46143</v>
      </c>
      <c r="E68">
        <v>2023</v>
      </c>
      <c r="F68" t="s">
        <v>32</v>
      </c>
      <c r="G68" s="3">
        <v>25</v>
      </c>
      <c r="H68" s="3">
        <v>25</v>
      </c>
      <c r="I68" s="2">
        <v>0</v>
      </c>
      <c r="J68" t="s">
        <v>33</v>
      </c>
      <c r="K68" t="s">
        <v>34</v>
      </c>
      <c r="L68" s="1">
        <v>46059</v>
      </c>
      <c r="M68">
        <v>683</v>
      </c>
      <c r="N68" s="3">
        <v>17075</v>
      </c>
      <c r="O68" s="3">
        <v>11.15</v>
      </c>
      <c r="P68" s="2">
        <v>0.55400000000000005</v>
      </c>
      <c r="Q68">
        <v>686</v>
      </c>
      <c r="R68">
        <v>1</v>
      </c>
      <c r="S68" s="2">
        <v>0.49890000000000001</v>
      </c>
      <c r="T68" t="s">
        <v>39</v>
      </c>
      <c r="U68" t="s">
        <v>40</v>
      </c>
      <c r="V68" s="3">
        <f>retail_dataset_additional_200_rows[[#This Row],[Revenue_Week]]*retail_dataset_additional_200_rows[[#This Row],[MarginPct]]</f>
        <v>9459.5500000000011</v>
      </c>
    </row>
    <row r="69" spans="1:22" x14ac:dyDescent="0.25">
      <c r="A69" t="s">
        <v>148</v>
      </c>
      <c r="B69" t="s">
        <v>30</v>
      </c>
      <c r="C69" t="s">
        <v>128</v>
      </c>
      <c r="D69" s="1">
        <v>46023</v>
      </c>
      <c r="E69">
        <v>2023</v>
      </c>
      <c r="F69" t="s">
        <v>32</v>
      </c>
      <c r="G69" s="3">
        <v>75</v>
      </c>
      <c r="H69" s="3">
        <v>75</v>
      </c>
      <c r="I69" s="2">
        <v>0</v>
      </c>
      <c r="J69" t="s">
        <v>33</v>
      </c>
      <c r="K69" t="s">
        <v>34</v>
      </c>
      <c r="L69" s="1">
        <v>46062</v>
      </c>
      <c r="M69">
        <v>210</v>
      </c>
      <c r="N69" s="3">
        <v>15750</v>
      </c>
      <c r="O69" s="3">
        <v>29.07</v>
      </c>
      <c r="P69" s="2">
        <v>0.61240000000000006</v>
      </c>
      <c r="Q69">
        <v>1052</v>
      </c>
      <c r="R69">
        <v>5.01</v>
      </c>
      <c r="S69" s="2">
        <v>0.16639999999999999</v>
      </c>
      <c r="T69" t="s">
        <v>39</v>
      </c>
      <c r="U69" t="s">
        <v>35</v>
      </c>
      <c r="V69" s="3">
        <f>retail_dataset_additional_200_rows[[#This Row],[Revenue_Week]]*retail_dataset_additional_200_rows[[#This Row],[MarginPct]]</f>
        <v>9645.3000000000011</v>
      </c>
    </row>
    <row r="70" spans="1:22" x14ac:dyDescent="0.25">
      <c r="A70" t="s">
        <v>149</v>
      </c>
      <c r="B70" t="s">
        <v>43</v>
      </c>
      <c r="C70" t="s">
        <v>107</v>
      </c>
      <c r="D70" s="1">
        <v>46023</v>
      </c>
      <c r="E70">
        <v>2024</v>
      </c>
      <c r="F70" t="s">
        <v>24</v>
      </c>
      <c r="G70" s="3">
        <v>35</v>
      </c>
      <c r="H70" s="3">
        <v>28</v>
      </c>
      <c r="I70" s="2">
        <v>0.2</v>
      </c>
      <c r="J70" t="s">
        <v>25</v>
      </c>
      <c r="K70" t="s">
        <v>26</v>
      </c>
      <c r="L70" s="1">
        <v>46066</v>
      </c>
      <c r="M70">
        <v>507</v>
      </c>
      <c r="N70" s="3">
        <v>14196</v>
      </c>
      <c r="O70" s="3">
        <v>18.45</v>
      </c>
      <c r="P70" s="2">
        <v>0.34110000000000001</v>
      </c>
      <c r="Q70">
        <v>1083</v>
      </c>
      <c r="R70">
        <v>2.14</v>
      </c>
      <c r="S70" s="2">
        <v>0.31890000000000002</v>
      </c>
      <c r="T70" t="s">
        <v>52</v>
      </c>
      <c r="U70" t="s">
        <v>35</v>
      </c>
      <c r="V70" s="3">
        <f>retail_dataset_additional_200_rows[[#This Row],[Revenue_Week]]*retail_dataset_additional_200_rows[[#This Row],[MarginPct]]</f>
        <v>4842.2556000000004</v>
      </c>
    </row>
    <row r="71" spans="1:22" x14ac:dyDescent="0.25">
      <c r="A71" t="s">
        <v>150</v>
      </c>
      <c r="B71" t="s">
        <v>30</v>
      </c>
      <c r="C71" t="s">
        <v>128</v>
      </c>
      <c r="D71" s="1">
        <v>46174</v>
      </c>
      <c r="E71">
        <v>2023</v>
      </c>
      <c r="F71" t="s">
        <v>24</v>
      </c>
      <c r="G71" s="3">
        <v>25</v>
      </c>
      <c r="H71" s="3">
        <v>20</v>
      </c>
      <c r="I71" s="2">
        <v>0.2</v>
      </c>
      <c r="J71" t="s">
        <v>25</v>
      </c>
      <c r="K71" t="s">
        <v>26</v>
      </c>
      <c r="L71" s="1">
        <v>46056</v>
      </c>
      <c r="M71">
        <v>178</v>
      </c>
      <c r="N71" s="3">
        <v>3560</v>
      </c>
      <c r="O71" s="3">
        <v>9</v>
      </c>
      <c r="P71" s="2">
        <v>0.55000000000000004</v>
      </c>
      <c r="Q71">
        <v>310</v>
      </c>
      <c r="R71">
        <v>1.74</v>
      </c>
      <c r="S71" s="2">
        <v>0.36480000000000001</v>
      </c>
      <c r="T71" t="s">
        <v>39</v>
      </c>
      <c r="U71" t="s">
        <v>28</v>
      </c>
      <c r="V71" s="3">
        <f>retail_dataset_additional_200_rows[[#This Row],[Revenue_Week]]*retail_dataset_additional_200_rows[[#This Row],[MarginPct]]</f>
        <v>1958.0000000000002</v>
      </c>
    </row>
    <row r="72" spans="1:22" x14ac:dyDescent="0.25">
      <c r="A72" t="s">
        <v>151</v>
      </c>
      <c r="B72" t="s">
        <v>47</v>
      </c>
      <c r="C72" t="s">
        <v>48</v>
      </c>
      <c r="D72" s="1">
        <v>46266</v>
      </c>
      <c r="E72">
        <v>2023</v>
      </c>
      <c r="F72" t="s">
        <v>32</v>
      </c>
      <c r="G72" s="3">
        <v>35</v>
      </c>
      <c r="H72" s="3">
        <v>35</v>
      </c>
      <c r="I72" s="2">
        <v>0</v>
      </c>
      <c r="J72" t="s">
        <v>33</v>
      </c>
      <c r="K72" t="s">
        <v>34</v>
      </c>
      <c r="L72" s="1">
        <v>46060</v>
      </c>
      <c r="M72">
        <v>510</v>
      </c>
      <c r="N72" s="3">
        <v>17850</v>
      </c>
      <c r="O72" s="3">
        <v>13.79</v>
      </c>
      <c r="P72" s="2">
        <v>0.60599999999999998</v>
      </c>
      <c r="Q72">
        <v>469</v>
      </c>
      <c r="R72">
        <v>0.92</v>
      </c>
      <c r="S72" s="2">
        <v>0.52090000000000003</v>
      </c>
      <c r="T72" t="s">
        <v>52</v>
      </c>
      <c r="U72" t="s">
        <v>67</v>
      </c>
      <c r="V72" s="3">
        <f>retail_dataset_additional_200_rows[[#This Row],[Revenue_Week]]*retail_dataset_additional_200_rows[[#This Row],[MarginPct]]</f>
        <v>10817.1</v>
      </c>
    </row>
    <row r="73" spans="1:22" x14ac:dyDescent="0.25">
      <c r="A73" t="s">
        <v>152</v>
      </c>
      <c r="B73" t="s">
        <v>42</v>
      </c>
      <c r="C73" t="s">
        <v>60</v>
      </c>
      <c r="D73" s="1">
        <v>46266</v>
      </c>
      <c r="E73">
        <v>2025</v>
      </c>
      <c r="F73" t="s">
        <v>24</v>
      </c>
      <c r="G73" s="3">
        <v>35</v>
      </c>
      <c r="H73" s="3">
        <v>28</v>
      </c>
      <c r="I73" s="2">
        <v>0.2</v>
      </c>
      <c r="J73" t="s">
        <v>25</v>
      </c>
      <c r="K73" t="s">
        <v>26</v>
      </c>
      <c r="L73" s="1">
        <v>46067</v>
      </c>
      <c r="M73">
        <v>671</v>
      </c>
      <c r="N73" s="3">
        <v>18788</v>
      </c>
      <c r="O73" s="3">
        <v>17.29</v>
      </c>
      <c r="P73" s="2">
        <v>0.38250000000000001</v>
      </c>
      <c r="Q73">
        <v>1547</v>
      </c>
      <c r="R73">
        <v>2.31</v>
      </c>
      <c r="S73" s="2">
        <v>0.30249999999999999</v>
      </c>
      <c r="T73" t="s">
        <v>39</v>
      </c>
      <c r="U73" t="s">
        <v>28</v>
      </c>
      <c r="V73" s="3">
        <f>retail_dataset_additional_200_rows[[#This Row],[Revenue_Week]]*retail_dataset_additional_200_rows[[#This Row],[MarginPct]]</f>
        <v>7186.41</v>
      </c>
    </row>
    <row r="74" spans="1:22" x14ac:dyDescent="0.25">
      <c r="A74" t="s">
        <v>153</v>
      </c>
      <c r="B74" t="s">
        <v>47</v>
      </c>
      <c r="C74" t="s">
        <v>105</v>
      </c>
      <c r="D74" s="1">
        <v>46357</v>
      </c>
      <c r="E74">
        <v>2024</v>
      </c>
      <c r="F74" t="s">
        <v>24</v>
      </c>
      <c r="G74" s="3">
        <v>120</v>
      </c>
      <c r="H74" s="3">
        <v>96</v>
      </c>
      <c r="I74" s="2">
        <v>0.2</v>
      </c>
      <c r="J74" t="s">
        <v>25</v>
      </c>
      <c r="K74" t="s">
        <v>26</v>
      </c>
      <c r="L74" s="1">
        <v>46061</v>
      </c>
      <c r="M74">
        <v>674</v>
      </c>
      <c r="N74" s="3">
        <v>64704</v>
      </c>
      <c r="O74" s="3">
        <v>44.41</v>
      </c>
      <c r="P74" s="2">
        <v>0.53739999999999999</v>
      </c>
      <c r="Q74">
        <v>561</v>
      </c>
      <c r="R74">
        <v>0.83</v>
      </c>
      <c r="S74" s="2">
        <v>0.54569999999999996</v>
      </c>
      <c r="T74" t="s">
        <v>39</v>
      </c>
      <c r="U74" t="s">
        <v>35</v>
      </c>
      <c r="V74" s="3">
        <f>retail_dataset_additional_200_rows[[#This Row],[Revenue_Week]]*retail_dataset_additional_200_rows[[#This Row],[MarginPct]]</f>
        <v>34771.929599999996</v>
      </c>
    </row>
    <row r="75" spans="1:22" x14ac:dyDescent="0.25">
      <c r="A75" t="s">
        <v>154</v>
      </c>
      <c r="B75" t="s">
        <v>65</v>
      </c>
      <c r="C75" t="s">
        <v>66</v>
      </c>
      <c r="D75" s="1">
        <v>46266</v>
      </c>
      <c r="E75">
        <v>2024</v>
      </c>
      <c r="F75" t="s">
        <v>32</v>
      </c>
      <c r="G75" s="3">
        <v>80</v>
      </c>
      <c r="H75" s="3">
        <v>80</v>
      </c>
      <c r="I75" s="2">
        <v>0</v>
      </c>
      <c r="J75" t="s">
        <v>33</v>
      </c>
      <c r="K75" t="s">
        <v>34</v>
      </c>
      <c r="L75" s="1">
        <v>46060</v>
      </c>
      <c r="M75">
        <v>732</v>
      </c>
      <c r="N75" s="3">
        <v>58560</v>
      </c>
      <c r="O75" s="3">
        <v>46.41</v>
      </c>
      <c r="P75" s="2">
        <v>0.4199</v>
      </c>
      <c r="Q75">
        <v>1085</v>
      </c>
      <c r="R75">
        <v>1.48</v>
      </c>
      <c r="S75" s="2">
        <v>0.40289999999999998</v>
      </c>
      <c r="T75" t="s">
        <v>39</v>
      </c>
      <c r="U75" t="s">
        <v>67</v>
      </c>
      <c r="V75" s="3">
        <f>retail_dataset_additional_200_rows[[#This Row],[Revenue_Week]]*retail_dataset_additional_200_rows[[#This Row],[MarginPct]]</f>
        <v>24589.344000000001</v>
      </c>
    </row>
    <row r="76" spans="1:22" x14ac:dyDescent="0.25">
      <c r="A76" t="s">
        <v>155</v>
      </c>
      <c r="B76" t="s">
        <v>59</v>
      </c>
      <c r="C76" t="s">
        <v>60</v>
      </c>
      <c r="D76" s="1">
        <v>46113</v>
      </c>
      <c r="E76">
        <v>2023</v>
      </c>
      <c r="F76" t="s">
        <v>32</v>
      </c>
      <c r="G76" s="3">
        <v>70</v>
      </c>
      <c r="H76" s="3">
        <v>70</v>
      </c>
      <c r="I76" s="2">
        <v>0</v>
      </c>
      <c r="J76" t="s">
        <v>33</v>
      </c>
      <c r="K76" t="s">
        <v>34</v>
      </c>
      <c r="L76" s="1">
        <v>46061</v>
      </c>
      <c r="M76">
        <v>283</v>
      </c>
      <c r="N76" s="3">
        <v>19810</v>
      </c>
      <c r="O76" s="3">
        <v>38.82</v>
      </c>
      <c r="P76" s="2">
        <v>0.44540000000000002</v>
      </c>
      <c r="Q76">
        <v>359</v>
      </c>
      <c r="R76">
        <v>1.27</v>
      </c>
      <c r="S76" s="2">
        <v>0.44080000000000003</v>
      </c>
      <c r="T76" t="s">
        <v>27</v>
      </c>
      <c r="U76" t="s">
        <v>28</v>
      </c>
      <c r="V76" s="3">
        <f>retail_dataset_additional_200_rows[[#This Row],[Revenue_Week]]*retail_dataset_additional_200_rows[[#This Row],[MarginPct]]</f>
        <v>8823.3739999999998</v>
      </c>
    </row>
    <row r="77" spans="1:22" x14ac:dyDescent="0.25">
      <c r="A77" t="s">
        <v>156</v>
      </c>
      <c r="B77" t="s">
        <v>56</v>
      </c>
      <c r="C77" t="s">
        <v>126</v>
      </c>
      <c r="D77" s="1">
        <v>46357</v>
      </c>
      <c r="E77">
        <v>2024</v>
      </c>
      <c r="F77" t="s">
        <v>24</v>
      </c>
      <c r="G77" s="3">
        <v>55</v>
      </c>
      <c r="H77" s="3">
        <v>44</v>
      </c>
      <c r="I77" s="2">
        <v>0.2</v>
      </c>
      <c r="J77" t="s">
        <v>25</v>
      </c>
      <c r="K77" t="s">
        <v>26</v>
      </c>
      <c r="L77" s="1">
        <v>46059</v>
      </c>
      <c r="M77">
        <v>212</v>
      </c>
      <c r="N77" s="3">
        <v>9328</v>
      </c>
      <c r="O77" s="3">
        <v>27.09</v>
      </c>
      <c r="P77" s="2">
        <v>0.38429999999999997</v>
      </c>
      <c r="Q77">
        <v>624</v>
      </c>
      <c r="R77">
        <v>2.94</v>
      </c>
      <c r="S77" s="2">
        <v>0.25359999999999999</v>
      </c>
      <c r="T77" t="s">
        <v>39</v>
      </c>
      <c r="U77" t="s">
        <v>40</v>
      </c>
      <c r="V77" s="3">
        <f>retail_dataset_additional_200_rows[[#This Row],[Revenue_Week]]*retail_dataset_additional_200_rows[[#This Row],[MarginPct]]</f>
        <v>3584.7503999999999</v>
      </c>
    </row>
    <row r="78" spans="1:22" x14ac:dyDescent="0.25">
      <c r="A78" t="s">
        <v>157</v>
      </c>
      <c r="B78" t="s">
        <v>56</v>
      </c>
      <c r="C78" t="s">
        <v>139</v>
      </c>
      <c r="D78" s="1">
        <v>46023</v>
      </c>
      <c r="E78">
        <v>2023</v>
      </c>
      <c r="F78" t="s">
        <v>24</v>
      </c>
      <c r="G78" s="3">
        <v>75</v>
      </c>
      <c r="H78" s="3">
        <v>60</v>
      </c>
      <c r="I78" s="2">
        <v>0.2</v>
      </c>
      <c r="J78" t="s">
        <v>25</v>
      </c>
      <c r="K78" t="s">
        <v>26</v>
      </c>
      <c r="L78" s="1">
        <v>46054</v>
      </c>
      <c r="M78">
        <v>751</v>
      </c>
      <c r="N78" s="3">
        <v>45060</v>
      </c>
      <c r="O78" s="3">
        <v>33.630000000000003</v>
      </c>
      <c r="P78" s="2">
        <v>0.4395</v>
      </c>
      <c r="Q78">
        <v>826</v>
      </c>
      <c r="R78">
        <v>1.1000000000000001</v>
      </c>
      <c r="S78" s="2">
        <v>0.47620000000000001</v>
      </c>
      <c r="T78" t="s">
        <v>52</v>
      </c>
      <c r="U78" t="s">
        <v>28</v>
      </c>
      <c r="V78" s="3">
        <f>retail_dataset_additional_200_rows[[#This Row],[Revenue_Week]]*retail_dataset_additional_200_rows[[#This Row],[MarginPct]]</f>
        <v>19803.87</v>
      </c>
    </row>
    <row r="79" spans="1:22" x14ac:dyDescent="0.25">
      <c r="A79" t="s">
        <v>158</v>
      </c>
      <c r="B79" t="s">
        <v>65</v>
      </c>
      <c r="C79" t="s">
        <v>66</v>
      </c>
      <c r="D79" s="1">
        <v>46082</v>
      </c>
      <c r="E79">
        <v>2025</v>
      </c>
      <c r="F79" t="s">
        <v>24</v>
      </c>
      <c r="G79" s="3">
        <v>60</v>
      </c>
      <c r="H79" s="3">
        <v>48</v>
      </c>
      <c r="I79" s="2">
        <v>0.2</v>
      </c>
      <c r="J79" t="s">
        <v>25</v>
      </c>
      <c r="K79" t="s">
        <v>26</v>
      </c>
      <c r="L79" s="1">
        <v>46068</v>
      </c>
      <c r="M79">
        <v>797</v>
      </c>
      <c r="N79" s="3">
        <v>38256</v>
      </c>
      <c r="O79" s="3">
        <v>28.88</v>
      </c>
      <c r="P79" s="2">
        <v>0.39829999999999999</v>
      </c>
      <c r="Q79">
        <v>1958</v>
      </c>
      <c r="R79">
        <v>2.46</v>
      </c>
      <c r="S79" s="2">
        <v>0.2893</v>
      </c>
      <c r="T79" t="s">
        <v>39</v>
      </c>
      <c r="U79" t="s">
        <v>35</v>
      </c>
      <c r="V79" s="3">
        <f>retail_dataset_additional_200_rows[[#This Row],[Revenue_Week]]*retail_dataset_additional_200_rows[[#This Row],[MarginPct]]</f>
        <v>15237.364799999999</v>
      </c>
    </row>
    <row r="80" spans="1:22" x14ac:dyDescent="0.25">
      <c r="A80" t="s">
        <v>159</v>
      </c>
      <c r="B80" t="s">
        <v>42</v>
      </c>
      <c r="C80" t="s">
        <v>43</v>
      </c>
      <c r="D80" s="1">
        <v>46174</v>
      </c>
      <c r="E80">
        <v>2023</v>
      </c>
      <c r="F80" t="s">
        <v>32</v>
      </c>
      <c r="G80" s="3">
        <v>120</v>
      </c>
      <c r="H80" s="3">
        <v>120</v>
      </c>
      <c r="I80" s="2">
        <v>0</v>
      </c>
      <c r="J80" t="s">
        <v>33</v>
      </c>
      <c r="K80" t="s">
        <v>34</v>
      </c>
      <c r="L80" s="1">
        <v>46061</v>
      </c>
      <c r="M80">
        <v>81</v>
      </c>
      <c r="N80" s="3">
        <v>9720</v>
      </c>
      <c r="O80" s="3">
        <v>62.41</v>
      </c>
      <c r="P80" s="2">
        <v>0.47989999999999999</v>
      </c>
      <c r="Q80">
        <v>1016</v>
      </c>
      <c r="R80">
        <v>12.54</v>
      </c>
      <c r="S80" s="2">
        <v>7.3800000000000004E-2</v>
      </c>
      <c r="T80" t="s">
        <v>39</v>
      </c>
      <c r="U80" t="s">
        <v>67</v>
      </c>
      <c r="V80" s="3">
        <f>retail_dataset_additional_200_rows[[#This Row],[Revenue_Week]]*retail_dataset_additional_200_rows[[#This Row],[MarginPct]]</f>
        <v>4664.6279999999997</v>
      </c>
    </row>
    <row r="81" spans="1:22" x14ac:dyDescent="0.25">
      <c r="A81" t="s">
        <v>160</v>
      </c>
      <c r="B81" t="s">
        <v>43</v>
      </c>
      <c r="C81" t="s">
        <v>88</v>
      </c>
      <c r="D81" s="1">
        <v>46266</v>
      </c>
      <c r="E81">
        <v>2024</v>
      </c>
      <c r="F81" t="s">
        <v>24</v>
      </c>
      <c r="G81" s="3">
        <v>65</v>
      </c>
      <c r="H81" s="3">
        <v>52</v>
      </c>
      <c r="I81" s="2">
        <v>0.2</v>
      </c>
      <c r="J81" t="s">
        <v>25</v>
      </c>
      <c r="K81" t="s">
        <v>45</v>
      </c>
      <c r="L81" s="1">
        <v>46068</v>
      </c>
      <c r="M81">
        <v>547</v>
      </c>
      <c r="N81" s="3">
        <v>28444</v>
      </c>
      <c r="O81" s="3">
        <v>24.69</v>
      </c>
      <c r="P81" s="2">
        <v>0.5252</v>
      </c>
      <c r="Q81">
        <v>1608</v>
      </c>
      <c r="R81">
        <v>2.94</v>
      </c>
      <c r="S81" s="2">
        <v>0.25380000000000003</v>
      </c>
      <c r="T81" t="s">
        <v>39</v>
      </c>
      <c r="U81" t="s">
        <v>40</v>
      </c>
      <c r="V81" s="3">
        <f>retail_dataset_additional_200_rows[[#This Row],[Revenue_Week]]*retail_dataset_additional_200_rows[[#This Row],[MarginPct]]</f>
        <v>14938.7888</v>
      </c>
    </row>
    <row r="82" spans="1:22" x14ac:dyDescent="0.25">
      <c r="A82" t="s">
        <v>161</v>
      </c>
      <c r="B82" t="s">
        <v>30</v>
      </c>
      <c r="C82" t="s">
        <v>31</v>
      </c>
      <c r="D82" s="1">
        <v>46357</v>
      </c>
      <c r="E82">
        <v>2024</v>
      </c>
      <c r="F82" t="s">
        <v>32</v>
      </c>
      <c r="G82" s="3">
        <v>30</v>
      </c>
      <c r="H82" s="3">
        <v>30</v>
      </c>
      <c r="I82" s="2">
        <v>0</v>
      </c>
      <c r="J82" t="s">
        <v>33</v>
      </c>
      <c r="K82" t="s">
        <v>34</v>
      </c>
      <c r="L82" s="1">
        <v>46057</v>
      </c>
      <c r="M82">
        <v>407</v>
      </c>
      <c r="N82" s="3">
        <v>12210</v>
      </c>
      <c r="O82" s="3">
        <v>17.43</v>
      </c>
      <c r="P82" s="2">
        <v>0.41899999999999998</v>
      </c>
      <c r="Q82">
        <v>380</v>
      </c>
      <c r="R82">
        <v>0.93</v>
      </c>
      <c r="S82" s="2">
        <v>0.51719999999999999</v>
      </c>
      <c r="T82" t="s">
        <v>52</v>
      </c>
      <c r="U82" t="s">
        <v>35</v>
      </c>
      <c r="V82" s="3">
        <f>retail_dataset_additional_200_rows[[#This Row],[Revenue_Week]]*retail_dataset_additional_200_rows[[#This Row],[MarginPct]]</f>
        <v>5115.99</v>
      </c>
    </row>
    <row r="83" spans="1:22" x14ac:dyDescent="0.25">
      <c r="A83" t="s">
        <v>162</v>
      </c>
      <c r="B83" t="s">
        <v>43</v>
      </c>
      <c r="C83" t="s">
        <v>54</v>
      </c>
      <c r="D83" s="1">
        <v>46174</v>
      </c>
      <c r="E83">
        <v>2023</v>
      </c>
      <c r="F83" t="s">
        <v>32</v>
      </c>
      <c r="G83" s="3">
        <v>40</v>
      </c>
      <c r="H83" s="3">
        <v>40</v>
      </c>
      <c r="I83" s="2">
        <v>0</v>
      </c>
      <c r="J83" t="s">
        <v>33</v>
      </c>
      <c r="K83" t="s">
        <v>34</v>
      </c>
      <c r="L83" s="1">
        <v>46054</v>
      </c>
      <c r="M83">
        <v>417</v>
      </c>
      <c r="N83" s="3">
        <v>16680</v>
      </c>
      <c r="O83" s="3">
        <v>16.36</v>
      </c>
      <c r="P83" s="2">
        <v>0.59099999999999997</v>
      </c>
      <c r="Q83">
        <v>1519</v>
      </c>
      <c r="R83">
        <v>3.64</v>
      </c>
      <c r="S83" s="2">
        <v>0.21540000000000001</v>
      </c>
      <c r="T83" t="s">
        <v>39</v>
      </c>
      <c r="U83" t="s">
        <v>67</v>
      </c>
      <c r="V83" s="3">
        <f>retail_dataset_additional_200_rows[[#This Row],[Revenue_Week]]*retail_dataset_additional_200_rows[[#This Row],[MarginPct]]</f>
        <v>9857.8799999999992</v>
      </c>
    </row>
    <row r="84" spans="1:22" x14ac:dyDescent="0.25">
      <c r="A84" t="s">
        <v>163</v>
      </c>
      <c r="B84" t="s">
        <v>59</v>
      </c>
      <c r="C84" t="s">
        <v>60</v>
      </c>
      <c r="D84" s="1">
        <v>46023</v>
      </c>
      <c r="E84">
        <v>2023</v>
      </c>
      <c r="F84" t="s">
        <v>24</v>
      </c>
      <c r="G84" s="3">
        <v>55</v>
      </c>
      <c r="H84" s="3">
        <v>44</v>
      </c>
      <c r="I84" s="2">
        <v>0.2</v>
      </c>
      <c r="J84" t="s">
        <v>25</v>
      </c>
      <c r="K84" t="s">
        <v>26</v>
      </c>
      <c r="L84" s="1">
        <v>46065</v>
      </c>
      <c r="M84">
        <v>786</v>
      </c>
      <c r="N84" s="3">
        <v>34584</v>
      </c>
      <c r="O84" s="3">
        <v>23.4</v>
      </c>
      <c r="P84" s="2">
        <v>0.46820000000000001</v>
      </c>
      <c r="Q84">
        <v>1931</v>
      </c>
      <c r="R84">
        <v>2.46</v>
      </c>
      <c r="S84" s="2">
        <v>0.2893</v>
      </c>
      <c r="T84" t="s">
        <v>39</v>
      </c>
      <c r="U84" t="s">
        <v>28</v>
      </c>
      <c r="V84" s="3">
        <f>retail_dataset_additional_200_rows[[#This Row],[Revenue_Week]]*retail_dataset_additional_200_rows[[#This Row],[MarginPct]]</f>
        <v>16192.228800000001</v>
      </c>
    </row>
    <row r="85" spans="1:22" x14ac:dyDescent="0.25">
      <c r="A85" t="s">
        <v>164</v>
      </c>
      <c r="B85" t="s">
        <v>42</v>
      </c>
      <c r="C85" t="s">
        <v>60</v>
      </c>
      <c r="D85" s="1">
        <v>46023</v>
      </c>
      <c r="E85">
        <v>2025</v>
      </c>
      <c r="F85" t="s">
        <v>24</v>
      </c>
      <c r="G85" s="3">
        <v>45</v>
      </c>
      <c r="H85" s="3">
        <v>36</v>
      </c>
      <c r="I85" s="2">
        <v>0.2</v>
      </c>
      <c r="J85" t="s">
        <v>25</v>
      </c>
      <c r="K85" t="s">
        <v>45</v>
      </c>
      <c r="L85" s="1">
        <v>46064</v>
      </c>
      <c r="M85">
        <v>287</v>
      </c>
      <c r="N85" s="3">
        <v>10332</v>
      </c>
      <c r="O85" s="3">
        <v>19.48</v>
      </c>
      <c r="P85" s="2">
        <v>0.45889999999999997</v>
      </c>
      <c r="Q85">
        <v>1648</v>
      </c>
      <c r="R85">
        <v>5.74</v>
      </c>
      <c r="S85" s="2">
        <v>0.14829999999999999</v>
      </c>
      <c r="T85" t="s">
        <v>52</v>
      </c>
      <c r="U85" t="s">
        <v>28</v>
      </c>
      <c r="V85" s="3">
        <f>retail_dataset_additional_200_rows[[#This Row],[Revenue_Week]]*retail_dataset_additional_200_rows[[#This Row],[MarginPct]]</f>
        <v>4741.3548000000001</v>
      </c>
    </row>
    <row r="86" spans="1:22" x14ac:dyDescent="0.25">
      <c r="A86" t="s">
        <v>165</v>
      </c>
      <c r="B86" t="s">
        <v>37</v>
      </c>
      <c r="C86" t="s">
        <v>80</v>
      </c>
      <c r="D86" s="1">
        <v>46357</v>
      </c>
      <c r="E86">
        <v>2023</v>
      </c>
      <c r="F86" t="s">
        <v>32</v>
      </c>
      <c r="G86" s="3">
        <v>35</v>
      </c>
      <c r="H86" s="3">
        <v>35</v>
      </c>
      <c r="I86" s="2">
        <v>0</v>
      </c>
      <c r="J86" t="s">
        <v>33</v>
      </c>
      <c r="K86" t="s">
        <v>34</v>
      </c>
      <c r="L86" s="1">
        <v>46056</v>
      </c>
      <c r="M86">
        <v>261</v>
      </c>
      <c r="N86" s="3">
        <v>9135</v>
      </c>
      <c r="O86" s="3">
        <v>18.73</v>
      </c>
      <c r="P86" s="2">
        <v>0.46489999999999998</v>
      </c>
      <c r="Q86">
        <v>887</v>
      </c>
      <c r="R86">
        <v>3.4</v>
      </c>
      <c r="S86" s="2">
        <v>0.22739999999999999</v>
      </c>
      <c r="T86" t="s">
        <v>39</v>
      </c>
      <c r="U86" t="s">
        <v>67</v>
      </c>
      <c r="V86" s="3">
        <f>retail_dataset_additional_200_rows[[#This Row],[Revenue_Week]]*retail_dataset_additional_200_rows[[#This Row],[MarginPct]]</f>
        <v>4246.8615</v>
      </c>
    </row>
    <row r="87" spans="1:22" x14ac:dyDescent="0.25">
      <c r="A87" t="s">
        <v>166</v>
      </c>
      <c r="B87" t="s">
        <v>167</v>
      </c>
      <c r="C87" t="s">
        <v>168</v>
      </c>
      <c r="D87" s="1">
        <v>46143</v>
      </c>
      <c r="E87">
        <v>2024</v>
      </c>
      <c r="F87" t="s">
        <v>32</v>
      </c>
      <c r="G87" s="3">
        <v>80</v>
      </c>
      <c r="H87" s="3">
        <v>80</v>
      </c>
      <c r="I87" s="2">
        <v>0</v>
      </c>
      <c r="J87" t="s">
        <v>33</v>
      </c>
      <c r="K87" t="s">
        <v>34</v>
      </c>
      <c r="L87" s="1">
        <v>46062</v>
      </c>
      <c r="M87">
        <v>736</v>
      </c>
      <c r="N87" s="3">
        <v>58880</v>
      </c>
      <c r="O87" s="3">
        <v>45.87</v>
      </c>
      <c r="P87" s="2">
        <v>0.42659999999999998</v>
      </c>
      <c r="Q87">
        <v>1728</v>
      </c>
      <c r="R87">
        <v>2.35</v>
      </c>
      <c r="S87" s="2">
        <v>0.29870000000000002</v>
      </c>
      <c r="T87" t="s">
        <v>27</v>
      </c>
      <c r="U87" t="s">
        <v>67</v>
      </c>
      <c r="V87" s="3">
        <f>retail_dataset_additional_200_rows[[#This Row],[Revenue_Week]]*retail_dataset_additional_200_rows[[#This Row],[MarginPct]]</f>
        <v>25118.207999999999</v>
      </c>
    </row>
    <row r="88" spans="1:22" x14ac:dyDescent="0.25">
      <c r="A88" t="s">
        <v>169</v>
      </c>
      <c r="B88" t="s">
        <v>135</v>
      </c>
      <c r="C88" t="s">
        <v>136</v>
      </c>
      <c r="D88" s="1">
        <v>46143</v>
      </c>
      <c r="E88">
        <v>2025</v>
      </c>
      <c r="F88" t="s">
        <v>24</v>
      </c>
      <c r="G88" s="3">
        <v>60</v>
      </c>
      <c r="H88" s="3">
        <v>48</v>
      </c>
      <c r="I88" s="2">
        <v>0.2</v>
      </c>
      <c r="J88" t="s">
        <v>25</v>
      </c>
      <c r="K88" t="s">
        <v>45</v>
      </c>
      <c r="L88" s="1">
        <v>46067</v>
      </c>
      <c r="M88">
        <v>636</v>
      </c>
      <c r="N88" s="3">
        <v>30528</v>
      </c>
      <c r="O88" s="3">
        <v>35.21</v>
      </c>
      <c r="P88" s="2">
        <v>0.26650000000000001</v>
      </c>
      <c r="Q88">
        <v>1504</v>
      </c>
      <c r="R88">
        <v>2.36</v>
      </c>
      <c r="S88" s="2">
        <v>0.29720000000000002</v>
      </c>
      <c r="T88" t="s">
        <v>52</v>
      </c>
      <c r="U88" t="s">
        <v>35</v>
      </c>
      <c r="V88" s="3">
        <f>retail_dataset_additional_200_rows[[#This Row],[Revenue_Week]]*retail_dataset_additional_200_rows[[#This Row],[MarginPct]]</f>
        <v>8135.7120000000004</v>
      </c>
    </row>
    <row r="89" spans="1:22" x14ac:dyDescent="0.25">
      <c r="A89" t="s">
        <v>170</v>
      </c>
      <c r="B89" t="s">
        <v>47</v>
      </c>
      <c r="C89" t="s">
        <v>105</v>
      </c>
      <c r="D89" s="1">
        <v>46357</v>
      </c>
      <c r="E89">
        <v>2023</v>
      </c>
      <c r="F89" t="s">
        <v>32</v>
      </c>
      <c r="G89" s="3">
        <v>40</v>
      </c>
      <c r="H89" s="3">
        <v>40</v>
      </c>
      <c r="I89" s="2">
        <v>0</v>
      </c>
      <c r="J89" t="s">
        <v>33</v>
      </c>
      <c r="K89" t="s">
        <v>34</v>
      </c>
      <c r="L89" s="1">
        <v>46064</v>
      </c>
      <c r="M89">
        <v>589</v>
      </c>
      <c r="N89" s="3">
        <v>23560</v>
      </c>
      <c r="O89" s="3">
        <v>18.78</v>
      </c>
      <c r="P89" s="2">
        <v>0.53049999999999997</v>
      </c>
      <c r="Q89">
        <v>973</v>
      </c>
      <c r="R89">
        <v>1.65</v>
      </c>
      <c r="S89" s="2">
        <v>0.37709999999999999</v>
      </c>
      <c r="T89" t="s">
        <v>27</v>
      </c>
      <c r="U89" t="s">
        <v>28</v>
      </c>
      <c r="V89" s="3">
        <f>retail_dataset_additional_200_rows[[#This Row],[Revenue_Week]]*retail_dataset_additional_200_rows[[#This Row],[MarginPct]]</f>
        <v>12498.58</v>
      </c>
    </row>
    <row r="90" spans="1:22" x14ac:dyDescent="0.25">
      <c r="A90" t="s">
        <v>171</v>
      </c>
      <c r="B90" t="s">
        <v>43</v>
      </c>
      <c r="C90" t="s">
        <v>107</v>
      </c>
      <c r="D90" s="1">
        <v>46113</v>
      </c>
      <c r="E90">
        <v>2025</v>
      </c>
      <c r="F90" t="s">
        <v>32</v>
      </c>
      <c r="G90" s="3">
        <v>140</v>
      </c>
      <c r="H90" s="3">
        <v>140</v>
      </c>
      <c r="I90" s="2">
        <v>0</v>
      </c>
      <c r="J90" t="s">
        <v>33</v>
      </c>
      <c r="K90" t="s">
        <v>34</v>
      </c>
      <c r="L90" s="1">
        <v>46054</v>
      </c>
      <c r="M90">
        <v>610</v>
      </c>
      <c r="N90" s="3">
        <v>85400</v>
      </c>
      <c r="O90" s="3">
        <v>57.53</v>
      </c>
      <c r="P90" s="2">
        <v>0.58909999999999996</v>
      </c>
      <c r="Q90">
        <v>828</v>
      </c>
      <c r="R90">
        <v>1.36</v>
      </c>
      <c r="S90" s="2">
        <v>0.42420000000000002</v>
      </c>
      <c r="T90" t="s">
        <v>39</v>
      </c>
      <c r="U90" t="s">
        <v>35</v>
      </c>
      <c r="V90" s="3">
        <f>retail_dataset_additional_200_rows[[#This Row],[Revenue_Week]]*retail_dataset_additional_200_rows[[#This Row],[MarginPct]]</f>
        <v>50309.14</v>
      </c>
    </row>
    <row r="91" spans="1:22" x14ac:dyDescent="0.25">
      <c r="A91" t="s">
        <v>172</v>
      </c>
      <c r="B91" t="s">
        <v>56</v>
      </c>
      <c r="C91" t="s">
        <v>139</v>
      </c>
      <c r="D91" s="1">
        <v>46235</v>
      </c>
      <c r="E91">
        <v>2023</v>
      </c>
      <c r="F91" t="s">
        <v>32</v>
      </c>
      <c r="G91" s="3">
        <v>65</v>
      </c>
      <c r="H91" s="3">
        <v>65</v>
      </c>
      <c r="I91" s="2">
        <v>0</v>
      </c>
      <c r="J91" t="s">
        <v>33</v>
      </c>
      <c r="K91" t="s">
        <v>34</v>
      </c>
      <c r="L91" s="1">
        <v>46060</v>
      </c>
      <c r="M91">
        <v>143</v>
      </c>
      <c r="N91" s="3">
        <v>9295</v>
      </c>
      <c r="O91" s="3">
        <v>31.73</v>
      </c>
      <c r="P91" s="2">
        <v>0.51180000000000003</v>
      </c>
      <c r="Q91">
        <v>468</v>
      </c>
      <c r="R91">
        <v>3.27</v>
      </c>
      <c r="S91" s="2">
        <v>0.23400000000000001</v>
      </c>
      <c r="T91" t="s">
        <v>27</v>
      </c>
      <c r="U91" t="s">
        <v>40</v>
      </c>
      <c r="V91" s="3">
        <f>retail_dataset_additional_200_rows[[#This Row],[Revenue_Week]]*retail_dataset_additional_200_rows[[#This Row],[MarginPct]]</f>
        <v>4757.1810000000005</v>
      </c>
    </row>
    <row r="92" spans="1:22" x14ac:dyDescent="0.25">
      <c r="A92" t="s">
        <v>173</v>
      </c>
      <c r="B92" t="s">
        <v>47</v>
      </c>
      <c r="C92" t="s">
        <v>48</v>
      </c>
      <c r="D92" s="1">
        <v>46023</v>
      </c>
      <c r="E92">
        <v>2023</v>
      </c>
      <c r="F92" t="s">
        <v>24</v>
      </c>
      <c r="G92" s="3">
        <v>40</v>
      </c>
      <c r="H92" s="3">
        <v>32</v>
      </c>
      <c r="I92" s="2">
        <v>0.2</v>
      </c>
      <c r="J92" t="s">
        <v>25</v>
      </c>
      <c r="K92" t="s">
        <v>26</v>
      </c>
      <c r="L92" s="1">
        <v>46067</v>
      </c>
      <c r="M92">
        <v>186</v>
      </c>
      <c r="N92" s="3">
        <v>5952</v>
      </c>
      <c r="O92" s="3">
        <v>21.25</v>
      </c>
      <c r="P92" s="2">
        <v>0.33589999999999998</v>
      </c>
      <c r="Q92">
        <v>366</v>
      </c>
      <c r="R92">
        <v>1.97</v>
      </c>
      <c r="S92" s="2">
        <v>0.33700000000000002</v>
      </c>
      <c r="T92" t="s">
        <v>27</v>
      </c>
      <c r="U92" t="s">
        <v>35</v>
      </c>
      <c r="V92" s="3">
        <f>retail_dataset_additional_200_rows[[#This Row],[Revenue_Week]]*retail_dataset_additional_200_rows[[#This Row],[MarginPct]]</f>
        <v>1999.2767999999999</v>
      </c>
    </row>
    <row r="93" spans="1:22" x14ac:dyDescent="0.25">
      <c r="A93" t="s">
        <v>174</v>
      </c>
      <c r="B93" t="s">
        <v>50</v>
      </c>
      <c r="C93" t="s">
        <v>143</v>
      </c>
      <c r="D93" s="1">
        <v>46143</v>
      </c>
      <c r="E93">
        <v>2024</v>
      </c>
      <c r="F93" t="s">
        <v>32</v>
      </c>
      <c r="G93" s="3">
        <v>120</v>
      </c>
      <c r="H93" s="3">
        <v>120</v>
      </c>
      <c r="I93" s="2">
        <v>0</v>
      </c>
      <c r="J93" t="s">
        <v>33</v>
      </c>
      <c r="K93" t="s">
        <v>34</v>
      </c>
      <c r="L93" s="1">
        <v>46056</v>
      </c>
      <c r="M93">
        <v>487</v>
      </c>
      <c r="N93" s="3">
        <v>58440</v>
      </c>
      <c r="O93" s="3">
        <v>71.62</v>
      </c>
      <c r="P93" s="2">
        <v>0.4032</v>
      </c>
      <c r="Q93">
        <v>1207</v>
      </c>
      <c r="R93">
        <v>2.48</v>
      </c>
      <c r="S93" s="2">
        <v>0.28749999999999998</v>
      </c>
      <c r="T93" t="s">
        <v>52</v>
      </c>
      <c r="U93" t="s">
        <v>28</v>
      </c>
      <c r="V93" s="3">
        <f>retail_dataset_additional_200_rows[[#This Row],[Revenue_Week]]*retail_dataset_additional_200_rows[[#This Row],[MarginPct]]</f>
        <v>23563.008000000002</v>
      </c>
    </row>
    <row r="94" spans="1:22" x14ac:dyDescent="0.25">
      <c r="A94" t="s">
        <v>175</v>
      </c>
      <c r="B94" t="s">
        <v>42</v>
      </c>
      <c r="C94" t="s">
        <v>60</v>
      </c>
      <c r="D94" s="1">
        <v>46143</v>
      </c>
      <c r="E94">
        <v>2024</v>
      </c>
      <c r="F94" t="s">
        <v>32</v>
      </c>
      <c r="G94" s="3">
        <v>55</v>
      </c>
      <c r="H94" s="3">
        <v>55</v>
      </c>
      <c r="I94" s="2">
        <v>0</v>
      </c>
      <c r="J94" t="s">
        <v>33</v>
      </c>
      <c r="K94" t="s">
        <v>34</v>
      </c>
      <c r="L94" s="1">
        <v>46068</v>
      </c>
      <c r="M94">
        <v>134</v>
      </c>
      <c r="N94" s="3">
        <v>7370</v>
      </c>
      <c r="O94" s="3">
        <v>28.61</v>
      </c>
      <c r="P94" s="2">
        <v>0.4798</v>
      </c>
      <c r="Q94">
        <v>1338</v>
      </c>
      <c r="R94">
        <v>9.99</v>
      </c>
      <c r="S94" s="2">
        <v>9.0999999999999998E-2</v>
      </c>
      <c r="T94" t="s">
        <v>27</v>
      </c>
      <c r="U94" t="s">
        <v>35</v>
      </c>
      <c r="V94" s="3">
        <f>retail_dataset_additional_200_rows[[#This Row],[Revenue_Week]]*retail_dataset_additional_200_rows[[#This Row],[MarginPct]]</f>
        <v>3536.1260000000002</v>
      </c>
    </row>
    <row r="95" spans="1:22" x14ac:dyDescent="0.25">
      <c r="A95" t="s">
        <v>176</v>
      </c>
      <c r="B95" t="s">
        <v>135</v>
      </c>
      <c r="C95" t="s">
        <v>136</v>
      </c>
      <c r="D95" s="1">
        <v>46266</v>
      </c>
      <c r="E95">
        <v>2025</v>
      </c>
      <c r="F95" t="s">
        <v>32</v>
      </c>
      <c r="G95" s="3">
        <v>60</v>
      </c>
      <c r="H95" s="3">
        <v>60</v>
      </c>
      <c r="I95" s="2">
        <v>0</v>
      </c>
      <c r="J95" t="s">
        <v>33</v>
      </c>
      <c r="K95" t="s">
        <v>34</v>
      </c>
      <c r="L95" s="1">
        <v>46057</v>
      </c>
      <c r="M95">
        <v>378</v>
      </c>
      <c r="N95" s="3">
        <v>22680</v>
      </c>
      <c r="O95" s="3">
        <v>28.56</v>
      </c>
      <c r="P95" s="2">
        <v>0.52400000000000002</v>
      </c>
      <c r="Q95">
        <v>656</v>
      </c>
      <c r="R95">
        <v>1.74</v>
      </c>
      <c r="S95" s="2">
        <v>0.36559999999999998</v>
      </c>
      <c r="T95" t="s">
        <v>52</v>
      </c>
      <c r="U95" t="s">
        <v>40</v>
      </c>
      <c r="V95" s="3">
        <f>retail_dataset_additional_200_rows[[#This Row],[Revenue_Week]]*retail_dataset_additional_200_rows[[#This Row],[MarginPct]]</f>
        <v>11884.32</v>
      </c>
    </row>
    <row r="96" spans="1:22" x14ac:dyDescent="0.25">
      <c r="A96" t="s">
        <v>177</v>
      </c>
      <c r="B96" t="s">
        <v>47</v>
      </c>
      <c r="C96" t="s">
        <v>96</v>
      </c>
      <c r="D96" s="1">
        <v>46266</v>
      </c>
      <c r="E96">
        <v>2023</v>
      </c>
      <c r="F96" t="s">
        <v>32</v>
      </c>
      <c r="G96" s="3">
        <v>45</v>
      </c>
      <c r="H96" s="3">
        <v>45</v>
      </c>
      <c r="I96" s="2">
        <v>0</v>
      </c>
      <c r="J96" t="s">
        <v>33</v>
      </c>
      <c r="K96" t="s">
        <v>34</v>
      </c>
      <c r="L96" s="1">
        <v>46058</v>
      </c>
      <c r="M96">
        <v>758</v>
      </c>
      <c r="N96" s="3">
        <v>34110</v>
      </c>
      <c r="O96" s="3">
        <v>16.14</v>
      </c>
      <c r="P96" s="2">
        <v>0.64129999999999998</v>
      </c>
      <c r="Q96">
        <v>742</v>
      </c>
      <c r="R96">
        <v>0.98</v>
      </c>
      <c r="S96" s="2">
        <v>0.50529999999999997</v>
      </c>
      <c r="T96" t="s">
        <v>27</v>
      </c>
      <c r="U96" t="s">
        <v>28</v>
      </c>
      <c r="V96" s="3">
        <f>retail_dataset_additional_200_rows[[#This Row],[Revenue_Week]]*retail_dataset_additional_200_rows[[#This Row],[MarginPct]]</f>
        <v>21874.742999999999</v>
      </c>
    </row>
    <row r="97" spans="1:22" x14ac:dyDescent="0.25">
      <c r="A97" t="s">
        <v>178</v>
      </c>
      <c r="B97" t="s">
        <v>69</v>
      </c>
      <c r="C97" t="s">
        <v>70</v>
      </c>
      <c r="D97" s="1">
        <v>46235</v>
      </c>
      <c r="E97">
        <v>2024</v>
      </c>
      <c r="F97" t="s">
        <v>24</v>
      </c>
      <c r="G97" s="3">
        <v>55</v>
      </c>
      <c r="H97" s="3">
        <v>44</v>
      </c>
      <c r="I97" s="2">
        <v>0.2</v>
      </c>
      <c r="J97" t="s">
        <v>25</v>
      </c>
      <c r="K97" t="s">
        <v>45</v>
      </c>
      <c r="L97" s="1">
        <v>46056</v>
      </c>
      <c r="M97">
        <v>575</v>
      </c>
      <c r="N97" s="3">
        <v>25300</v>
      </c>
      <c r="O97" s="3">
        <v>19.63</v>
      </c>
      <c r="P97" s="2">
        <v>0.55389999999999995</v>
      </c>
      <c r="Q97">
        <v>1809</v>
      </c>
      <c r="R97">
        <v>3.15</v>
      </c>
      <c r="S97" s="2">
        <v>0.2412</v>
      </c>
      <c r="T97" t="s">
        <v>27</v>
      </c>
      <c r="U97" t="s">
        <v>67</v>
      </c>
      <c r="V97" s="3">
        <f>retail_dataset_additional_200_rows[[#This Row],[Revenue_Week]]*retail_dataset_additional_200_rows[[#This Row],[MarginPct]]</f>
        <v>14013.669999999998</v>
      </c>
    </row>
    <row r="98" spans="1:22" x14ac:dyDescent="0.25">
      <c r="A98" t="s">
        <v>179</v>
      </c>
      <c r="B98" t="s">
        <v>62</v>
      </c>
      <c r="C98" t="s">
        <v>92</v>
      </c>
      <c r="D98" s="1">
        <v>46023</v>
      </c>
      <c r="E98">
        <v>2024</v>
      </c>
      <c r="F98" t="s">
        <v>24</v>
      </c>
      <c r="G98" s="3">
        <v>140</v>
      </c>
      <c r="H98" s="3">
        <v>112</v>
      </c>
      <c r="I98" s="2">
        <v>0.2</v>
      </c>
      <c r="J98" t="s">
        <v>25</v>
      </c>
      <c r="K98" t="s">
        <v>45</v>
      </c>
      <c r="L98" s="1">
        <v>46054</v>
      </c>
      <c r="M98">
        <v>689</v>
      </c>
      <c r="N98" s="3">
        <v>77168</v>
      </c>
      <c r="O98" s="3">
        <v>73.22</v>
      </c>
      <c r="P98" s="2">
        <v>0.3463</v>
      </c>
      <c r="Q98">
        <v>1550</v>
      </c>
      <c r="R98">
        <v>2.25</v>
      </c>
      <c r="S98" s="2">
        <v>0.30769999999999997</v>
      </c>
      <c r="T98" t="s">
        <v>27</v>
      </c>
      <c r="U98" t="s">
        <v>28</v>
      </c>
      <c r="V98" s="3">
        <f>retail_dataset_additional_200_rows[[#This Row],[Revenue_Week]]*retail_dataset_additional_200_rows[[#This Row],[MarginPct]]</f>
        <v>26723.278399999999</v>
      </c>
    </row>
    <row r="99" spans="1:22" x14ac:dyDescent="0.25">
      <c r="A99" t="s">
        <v>180</v>
      </c>
      <c r="B99" t="s">
        <v>42</v>
      </c>
      <c r="C99" t="s">
        <v>43</v>
      </c>
      <c r="D99" s="1">
        <v>46113</v>
      </c>
      <c r="E99">
        <v>2025</v>
      </c>
      <c r="F99" t="s">
        <v>24</v>
      </c>
      <c r="G99" s="3">
        <v>25</v>
      </c>
      <c r="H99" s="3">
        <v>20</v>
      </c>
      <c r="I99" s="2">
        <v>0.2</v>
      </c>
      <c r="J99" t="s">
        <v>25</v>
      </c>
      <c r="K99" t="s">
        <v>26</v>
      </c>
      <c r="L99" s="1">
        <v>46055</v>
      </c>
      <c r="M99">
        <v>777</v>
      </c>
      <c r="N99" s="3">
        <v>15540</v>
      </c>
      <c r="O99" s="3">
        <v>12.04</v>
      </c>
      <c r="P99" s="2">
        <v>0.39800000000000002</v>
      </c>
      <c r="Q99">
        <v>1015</v>
      </c>
      <c r="R99">
        <v>1.31</v>
      </c>
      <c r="S99" s="2">
        <v>0.43359999999999999</v>
      </c>
      <c r="T99" t="s">
        <v>27</v>
      </c>
      <c r="U99" t="s">
        <v>40</v>
      </c>
      <c r="V99" s="3">
        <f>retail_dataset_additional_200_rows[[#This Row],[Revenue_Week]]*retail_dataset_additional_200_rows[[#This Row],[MarginPct]]</f>
        <v>6184.92</v>
      </c>
    </row>
    <row r="100" spans="1:22" x14ac:dyDescent="0.25">
      <c r="A100" t="s">
        <v>181</v>
      </c>
      <c r="B100" t="s">
        <v>65</v>
      </c>
      <c r="C100" t="s">
        <v>182</v>
      </c>
      <c r="D100" s="1">
        <v>46174</v>
      </c>
      <c r="E100">
        <v>2025</v>
      </c>
      <c r="F100" t="s">
        <v>24</v>
      </c>
      <c r="G100" s="3">
        <v>45</v>
      </c>
      <c r="H100" s="3">
        <v>36</v>
      </c>
      <c r="I100" s="2">
        <v>0.2</v>
      </c>
      <c r="J100" t="s">
        <v>25</v>
      </c>
      <c r="K100" t="s">
        <v>26</v>
      </c>
      <c r="L100" s="1">
        <v>46055</v>
      </c>
      <c r="M100">
        <v>414</v>
      </c>
      <c r="N100" s="3">
        <v>14904</v>
      </c>
      <c r="O100" s="3">
        <v>16.73</v>
      </c>
      <c r="P100" s="2">
        <v>0.5353</v>
      </c>
      <c r="Q100">
        <v>1999</v>
      </c>
      <c r="R100">
        <v>4.83</v>
      </c>
      <c r="S100" s="2">
        <v>0.1716</v>
      </c>
      <c r="T100" t="s">
        <v>27</v>
      </c>
      <c r="U100" t="s">
        <v>35</v>
      </c>
      <c r="V100" s="3">
        <f>retail_dataset_additional_200_rows[[#This Row],[Revenue_Week]]*retail_dataset_additional_200_rows[[#This Row],[MarginPct]]</f>
        <v>7978.1112000000003</v>
      </c>
    </row>
    <row r="101" spans="1:22" x14ac:dyDescent="0.25">
      <c r="A101" t="s">
        <v>183</v>
      </c>
      <c r="B101" t="s">
        <v>167</v>
      </c>
      <c r="C101" t="s">
        <v>168</v>
      </c>
      <c r="D101" s="1">
        <v>46266</v>
      </c>
      <c r="E101">
        <v>2023</v>
      </c>
      <c r="F101" t="s">
        <v>32</v>
      </c>
      <c r="G101" s="3">
        <v>55</v>
      </c>
      <c r="H101" s="3">
        <v>55</v>
      </c>
      <c r="I101" s="2">
        <v>0</v>
      </c>
      <c r="J101" t="s">
        <v>33</v>
      </c>
      <c r="K101" t="s">
        <v>34</v>
      </c>
      <c r="L101" s="1">
        <v>46062</v>
      </c>
      <c r="M101">
        <v>547</v>
      </c>
      <c r="N101" s="3">
        <v>30085</v>
      </c>
      <c r="O101" s="3">
        <v>32.51</v>
      </c>
      <c r="P101" s="2">
        <v>0.40889999999999999</v>
      </c>
      <c r="Q101">
        <v>881</v>
      </c>
      <c r="R101">
        <v>1.61</v>
      </c>
      <c r="S101" s="2">
        <v>0.3831</v>
      </c>
      <c r="T101" t="s">
        <v>52</v>
      </c>
      <c r="U101" t="s">
        <v>28</v>
      </c>
      <c r="V101" s="3">
        <f>retail_dataset_additional_200_rows[[#This Row],[Revenue_Week]]*retail_dataset_additional_200_rows[[#This Row],[MarginPct]]</f>
        <v>12301.7565</v>
      </c>
    </row>
    <row r="102" spans="1:22" x14ac:dyDescent="0.25">
      <c r="A102" t="s">
        <v>184</v>
      </c>
      <c r="B102" t="s">
        <v>30</v>
      </c>
      <c r="C102" t="s">
        <v>128</v>
      </c>
      <c r="D102" s="1">
        <v>46357</v>
      </c>
      <c r="E102">
        <v>2024</v>
      </c>
      <c r="F102" t="s">
        <v>24</v>
      </c>
      <c r="G102" s="3">
        <v>45</v>
      </c>
      <c r="H102" s="3">
        <v>36</v>
      </c>
      <c r="I102" s="2">
        <v>0.2</v>
      </c>
      <c r="J102" t="s">
        <v>25</v>
      </c>
      <c r="K102" t="s">
        <v>26</v>
      </c>
      <c r="L102" s="1">
        <v>46067</v>
      </c>
      <c r="M102">
        <v>438</v>
      </c>
      <c r="N102" s="3">
        <v>15768</v>
      </c>
      <c r="O102" s="3">
        <v>17.100000000000001</v>
      </c>
      <c r="P102" s="2">
        <v>0.52500000000000002</v>
      </c>
      <c r="Q102">
        <v>629</v>
      </c>
      <c r="R102">
        <v>1.44</v>
      </c>
      <c r="S102" s="2">
        <v>0.41049999999999998</v>
      </c>
      <c r="T102" t="s">
        <v>27</v>
      </c>
      <c r="U102" t="s">
        <v>40</v>
      </c>
      <c r="V102" s="3">
        <f>retail_dataset_additional_200_rows[[#This Row],[Revenue_Week]]*retail_dataset_additional_200_rows[[#This Row],[MarginPct]]</f>
        <v>8278.2000000000007</v>
      </c>
    </row>
    <row r="103" spans="1:22" x14ac:dyDescent="0.25">
      <c r="A103" t="s">
        <v>185</v>
      </c>
      <c r="B103" t="s">
        <v>56</v>
      </c>
      <c r="C103" t="s">
        <v>57</v>
      </c>
      <c r="D103" s="1">
        <v>46082</v>
      </c>
      <c r="E103">
        <v>2025</v>
      </c>
      <c r="F103" t="s">
        <v>24</v>
      </c>
      <c r="G103" s="3">
        <v>120</v>
      </c>
      <c r="H103" s="3">
        <v>96</v>
      </c>
      <c r="I103" s="2">
        <v>0.2</v>
      </c>
      <c r="J103" t="s">
        <v>25</v>
      </c>
      <c r="K103" t="s">
        <v>26</v>
      </c>
      <c r="L103" s="1">
        <v>46061</v>
      </c>
      <c r="M103">
        <v>210</v>
      </c>
      <c r="N103" s="3">
        <v>20160</v>
      </c>
      <c r="O103" s="3">
        <v>57.97</v>
      </c>
      <c r="P103" s="2">
        <v>0.39610000000000001</v>
      </c>
      <c r="Q103">
        <v>523</v>
      </c>
      <c r="R103">
        <v>2.4900000000000002</v>
      </c>
      <c r="S103" s="2">
        <v>0.28649999999999998</v>
      </c>
      <c r="T103" t="s">
        <v>27</v>
      </c>
      <c r="U103" t="s">
        <v>67</v>
      </c>
      <c r="V103" s="3">
        <f>retail_dataset_additional_200_rows[[#This Row],[Revenue_Week]]*retail_dataset_additional_200_rows[[#This Row],[MarginPct]]</f>
        <v>7985.3760000000002</v>
      </c>
    </row>
    <row r="104" spans="1:22" x14ac:dyDescent="0.25">
      <c r="A104" t="s">
        <v>186</v>
      </c>
      <c r="B104" t="s">
        <v>56</v>
      </c>
      <c r="C104" t="s">
        <v>139</v>
      </c>
      <c r="D104" s="1">
        <v>46357</v>
      </c>
      <c r="E104">
        <v>2025</v>
      </c>
      <c r="F104" t="s">
        <v>32</v>
      </c>
      <c r="G104" s="3">
        <v>30</v>
      </c>
      <c r="H104" s="3">
        <v>30</v>
      </c>
      <c r="I104" s="2">
        <v>0</v>
      </c>
      <c r="J104" t="s">
        <v>33</v>
      </c>
      <c r="K104" t="s">
        <v>34</v>
      </c>
      <c r="L104" s="1">
        <v>46061</v>
      </c>
      <c r="M104">
        <v>590</v>
      </c>
      <c r="N104" s="3">
        <v>17700</v>
      </c>
      <c r="O104" s="3">
        <v>17.97</v>
      </c>
      <c r="P104" s="2">
        <v>0.40100000000000002</v>
      </c>
      <c r="Q104">
        <v>551</v>
      </c>
      <c r="R104">
        <v>0.93</v>
      </c>
      <c r="S104" s="2">
        <v>0.5171</v>
      </c>
      <c r="T104" t="s">
        <v>52</v>
      </c>
      <c r="U104" t="s">
        <v>28</v>
      </c>
      <c r="V104" s="3">
        <f>retail_dataset_additional_200_rows[[#This Row],[Revenue_Week]]*retail_dataset_additional_200_rows[[#This Row],[MarginPct]]</f>
        <v>7097.7000000000007</v>
      </c>
    </row>
    <row r="105" spans="1:22" x14ac:dyDescent="0.25">
      <c r="A105" t="s">
        <v>187</v>
      </c>
      <c r="B105" t="s">
        <v>69</v>
      </c>
      <c r="C105" t="s">
        <v>70</v>
      </c>
      <c r="D105" s="1">
        <v>46113</v>
      </c>
      <c r="E105">
        <v>2023</v>
      </c>
      <c r="F105" t="s">
        <v>32</v>
      </c>
      <c r="G105" s="3">
        <v>140</v>
      </c>
      <c r="H105" s="3">
        <v>140</v>
      </c>
      <c r="I105" s="2">
        <v>0</v>
      </c>
      <c r="J105" t="s">
        <v>33</v>
      </c>
      <c r="K105" t="s">
        <v>34</v>
      </c>
      <c r="L105" s="1">
        <v>46056</v>
      </c>
      <c r="M105">
        <v>471</v>
      </c>
      <c r="N105" s="3">
        <v>65940</v>
      </c>
      <c r="O105" s="3">
        <v>76.47</v>
      </c>
      <c r="P105" s="2">
        <v>0.45379999999999998</v>
      </c>
      <c r="Q105">
        <v>770</v>
      </c>
      <c r="R105">
        <v>1.63</v>
      </c>
      <c r="S105" s="2">
        <v>0.3795</v>
      </c>
      <c r="T105" t="s">
        <v>27</v>
      </c>
      <c r="U105" t="s">
        <v>40</v>
      </c>
      <c r="V105" s="3">
        <f>retail_dataset_additional_200_rows[[#This Row],[Revenue_Week]]*retail_dataset_additional_200_rows[[#This Row],[MarginPct]]</f>
        <v>29923.572</v>
      </c>
    </row>
    <row r="106" spans="1:22" x14ac:dyDescent="0.25">
      <c r="A106" t="s">
        <v>188</v>
      </c>
      <c r="B106" t="s">
        <v>98</v>
      </c>
      <c r="C106" t="s">
        <v>99</v>
      </c>
      <c r="D106" s="1">
        <v>46082</v>
      </c>
      <c r="E106">
        <v>2023</v>
      </c>
      <c r="F106" t="s">
        <v>32</v>
      </c>
      <c r="G106" s="3">
        <v>55</v>
      </c>
      <c r="H106" s="3">
        <v>55</v>
      </c>
      <c r="I106" s="2">
        <v>0</v>
      </c>
      <c r="J106" t="s">
        <v>33</v>
      </c>
      <c r="K106" t="s">
        <v>34</v>
      </c>
      <c r="L106" s="1">
        <v>46061</v>
      </c>
      <c r="M106">
        <v>776</v>
      </c>
      <c r="N106" s="3">
        <v>42680</v>
      </c>
      <c r="O106" s="3">
        <v>21.7</v>
      </c>
      <c r="P106" s="2">
        <v>0.60550000000000004</v>
      </c>
      <c r="Q106">
        <v>995</v>
      </c>
      <c r="R106">
        <v>1.28</v>
      </c>
      <c r="S106" s="2">
        <v>0.43819999999999998</v>
      </c>
      <c r="T106" t="s">
        <v>52</v>
      </c>
      <c r="U106" t="s">
        <v>40</v>
      </c>
      <c r="V106" s="3">
        <f>retail_dataset_additional_200_rows[[#This Row],[Revenue_Week]]*retail_dataset_additional_200_rows[[#This Row],[MarginPct]]</f>
        <v>25842.74</v>
      </c>
    </row>
    <row r="107" spans="1:22" x14ac:dyDescent="0.25">
      <c r="A107" t="s">
        <v>189</v>
      </c>
      <c r="B107" t="s">
        <v>135</v>
      </c>
      <c r="C107" t="s">
        <v>50</v>
      </c>
      <c r="D107" s="1">
        <v>46143</v>
      </c>
      <c r="E107">
        <v>2024</v>
      </c>
      <c r="F107" t="s">
        <v>24</v>
      </c>
      <c r="G107" s="3">
        <v>50</v>
      </c>
      <c r="H107" s="3">
        <v>40</v>
      </c>
      <c r="I107" s="2">
        <v>0.2</v>
      </c>
      <c r="J107" t="s">
        <v>25</v>
      </c>
      <c r="K107" t="s">
        <v>45</v>
      </c>
      <c r="L107" s="1">
        <v>46068</v>
      </c>
      <c r="M107">
        <v>389</v>
      </c>
      <c r="N107" s="3">
        <v>15560</v>
      </c>
      <c r="O107" s="3">
        <v>23.7</v>
      </c>
      <c r="P107" s="2">
        <v>0.40749999999999997</v>
      </c>
      <c r="Q107">
        <v>372</v>
      </c>
      <c r="R107">
        <v>0.96</v>
      </c>
      <c r="S107" s="2">
        <v>0.51119999999999999</v>
      </c>
      <c r="T107" t="s">
        <v>27</v>
      </c>
      <c r="U107" t="s">
        <v>35</v>
      </c>
      <c r="V107" s="3">
        <f>retail_dataset_additional_200_rows[[#This Row],[Revenue_Week]]*retail_dataset_additional_200_rows[[#This Row],[MarginPct]]</f>
        <v>6340.7</v>
      </c>
    </row>
    <row r="108" spans="1:22" x14ac:dyDescent="0.25">
      <c r="A108" t="s">
        <v>190</v>
      </c>
      <c r="B108" t="s">
        <v>69</v>
      </c>
      <c r="C108" t="s">
        <v>70</v>
      </c>
      <c r="D108" s="1">
        <v>46235</v>
      </c>
      <c r="E108">
        <v>2024</v>
      </c>
      <c r="F108" t="s">
        <v>32</v>
      </c>
      <c r="G108" s="3">
        <v>60</v>
      </c>
      <c r="H108" s="3">
        <v>60</v>
      </c>
      <c r="I108" s="2">
        <v>0</v>
      </c>
      <c r="J108" t="s">
        <v>33</v>
      </c>
      <c r="K108" t="s">
        <v>34</v>
      </c>
      <c r="L108" s="1">
        <v>46066</v>
      </c>
      <c r="M108">
        <v>89</v>
      </c>
      <c r="N108" s="3">
        <v>5340</v>
      </c>
      <c r="O108" s="3">
        <v>28.07</v>
      </c>
      <c r="P108" s="2">
        <v>0.53220000000000001</v>
      </c>
      <c r="Q108">
        <v>1894</v>
      </c>
      <c r="R108">
        <v>21.28</v>
      </c>
      <c r="S108" s="2">
        <v>4.4900000000000002E-2</v>
      </c>
      <c r="T108" t="s">
        <v>52</v>
      </c>
      <c r="U108" t="s">
        <v>28</v>
      </c>
      <c r="V108" s="3">
        <f>retail_dataset_additional_200_rows[[#This Row],[Revenue_Week]]*retail_dataset_additional_200_rows[[#This Row],[MarginPct]]</f>
        <v>2841.9479999999999</v>
      </c>
    </row>
    <row r="109" spans="1:22" x14ac:dyDescent="0.25">
      <c r="A109" t="s">
        <v>191</v>
      </c>
      <c r="B109" t="s">
        <v>135</v>
      </c>
      <c r="C109" t="s">
        <v>31</v>
      </c>
      <c r="D109" s="1">
        <v>46113</v>
      </c>
      <c r="E109">
        <v>2023</v>
      </c>
      <c r="F109" t="s">
        <v>32</v>
      </c>
      <c r="G109" s="3">
        <v>140</v>
      </c>
      <c r="H109" s="3">
        <v>140</v>
      </c>
      <c r="I109" s="2">
        <v>0</v>
      </c>
      <c r="J109" t="s">
        <v>33</v>
      </c>
      <c r="K109" t="s">
        <v>34</v>
      </c>
      <c r="L109" s="1">
        <v>46064</v>
      </c>
      <c r="M109">
        <v>594</v>
      </c>
      <c r="N109" s="3">
        <v>83160</v>
      </c>
      <c r="O109" s="3">
        <v>71.37</v>
      </c>
      <c r="P109" s="2">
        <v>0.49020000000000002</v>
      </c>
      <c r="Q109">
        <v>1975</v>
      </c>
      <c r="R109">
        <v>3.32</v>
      </c>
      <c r="S109" s="2">
        <v>0.23119999999999999</v>
      </c>
      <c r="T109" t="s">
        <v>27</v>
      </c>
      <c r="U109" t="s">
        <v>40</v>
      </c>
      <c r="V109" s="3">
        <f>retail_dataset_additional_200_rows[[#This Row],[Revenue_Week]]*retail_dataset_additional_200_rows[[#This Row],[MarginPct]]</f>
        <v>40765.031999999999</v>
      </c>
    </row>
    <row r="110" spans="1:22" x14ac:dyDescent="0.25">
      <c r="A110" t="s">
        <v>192</v>
      </c>
      <c r="B110" t="s">
        <v>59</v>
      </c>
      <c r="C110" t="s">
        <v>60</v>
      </c>
      <c r="D110" s="1">
        <v>46357</v>
      </c>
      <c r="E110">
        <v>2025</v>
      </c>
      <c r="F110" t="s">
        <v>24</v>
      </c>
      <c r="G110" s="3">
        <v>150</v>
      </c>
      <c r="H110" s="3">
        <v>120</v>
      </c>
      <c r="I110" s="2">
        <v>0.2</v>
      </c>
      <c r="J110" t="s">
        <v>25</v>
      </c>
      <c r="K110" t="s">
        <v>45</v>
      </c>
      <c r="L110" s="1">
        <v>46055</v>
      </c>
      <c r="M110">
        <v>668</v>
      </c>
      <c r="N110" s="3">
        <v>80160</v>
      </c>
      <c r="O110" s="3">
        <v>52.57</v>
      </c>
      <c r="P110" s="2">
        <v>0.56189999999999996</v>
      </c>
      <c r="Q110">
        <v>1205</v>
      </c>
      <c r="R110">
        <v>1.8</v>
      </c>
      <c r="S110" s="2">
        <v>0.35659999999999997</v>
      </c>
      <c r="T110" t="s">
        <v>52</v>
      </c>
      <c r="U110" t="s">
        <v>40</v>
      </c>
      <c r="V110" s="3">
        <f>retail_dataset_additional_200_rows[[#This Row],[Revenue_Week]]*retail_dataset_additional_200_rows[[#This Row],[MarginPct]]</f>
        <v>45041.903999999995</v>
      </c>
    </row>
    <row r="111" spans="1:22" x14ac:dyDescent="0.25">
      <c r="A111" t="s">
        <v>193</v>
      </c>
      <c r="B111" t="s">
        <v>65</v>
      </c>
      <c r="C111" t="s">
        <v>119</v>
      </c>
      <c r="D111" s="1">
        <v>46023</v>
      </c>
      <c r="E111">
        <v>2024</v>
      </c>
      <c r="F111" t="s">
        <v>24</v>
      </c>
      <c r="G111" s="3">
        <v>70</v>
      </c>
      <c r="H111" s="3">
        <v>56</v>
      </c>
      <c r="I111" s="2">
        <v>0.2</v>
      </c>
      <c r="J111" t="s">
        <v>25</v>
      </c>
      <c r="K111" t="s">
        <v>26</v>
      </c>
      <c r="L111" s="1">
        <v>46057</v>
      </c>
      <c r="M111">
        <v>450</v>
      </c>
      <c r="N111" s="3">
        <v>25200</v>
      </c>
      <c r="O111" s="3">
        <v>37.729999999999997</v>
      </c>
      <c r="P111" s="2">
        <v>0.32629999999999998</v>
      </c>
      <c r="Q111">
        <v>1269</v>
      </c>
      <c r="R111">
        <v>2.82</v>
      </c>
      <c r="S111" s="2">
        <v>0.26179999999999998</v>
      </c>
      <c r="T111" t="s">
        <v>27</v>
      </c>
      <c r="U111" t="s">
        <v>35</v>
      </c>
      <c r="V111" s="3">
        <f>retail_dataset_additional_200_rows[[#This Row],[Revenue_Week]]*retail_dataset_additional_200_rows[[#This Row],[MarginPct]]</f>
        <v>8222.76</v>
      </c>
    </row>
    <row r="112" spans="1:22" x14ac:dyDescent="0.25">
      <c r="A112" t="s">
        <v>194</v>
      </c>
      <c r="B112" t="s">
        <v>195</v>
      </c>
      <c r="C112" t="s">
        <v>196</v>
      </c>
      <c r="D112" s="1">
        <v>46357</v>
      </c>
      <c r="E112">
        <v>2024</v>
      </c>
      <c r="F112" t="s">
        <v>32</v>
      </c>
      <c r="G112" s="3">
        <v>120</v>
      </c>
      <c r="H112" s="3">
        <v>120</v>
      </c>
      <c r="I112" s="2">
        <v>0</v>
      </c>
      <c r="J112" t="s">
        <v>33</v>
      </c>
      <c r="K112" t="s">
        <v>34</v>
      </c>
      <c r="L112" s="1">
        <v>46058</v>
      </c>
      <c r="M112">
        <v>272</v>
      </c>
      <c r="N112" s="3">
        <v>32640</v>
      </c>
      <c r="O112" s="3">
        <v>70.38</v>
      </c>
      <c r="P112" s="2">
        <v>0.41349999999999998</v>
      </c>
      <c r="Q112">
        <v>964</v>
      </c>
      <c r="R112">
        <v>3.54</v>
      </c>
      <c r="S112" s="2">
        <v>0.22009999999999999</v>
      </c>
      <c r="T112" t="s">
        <v>52</v>
      </c>
      <c r="U112" t="s">
        <v>28</v>
      </c>
      <c r="V112" s="3">
        <f>retail_dataset_additional_200_rows[[#This Row],[Revenue_Week]]*retail_dataset_additional_200_rows[[#This Row],[MarginPct]]</f>
        <v>13496.64</v>
      </c>
    </row>
    <row r="113" spans="1:22" x14ac:dyDescent="0.25">
      <c r="A113" t="s">
        <v>197</v>
      </c>
      <c r="B113" t="s">
        <v>43</v>
      </c>
      <c r="C113" t="s">
        <v>54</v>
      </c>
      <c r="D113" s="1">
        <v>46082</v>
      </c>
      <c r="E113">
        <v>2023</v>
      </c>
      <c r="F113" t="s">
        <v>32</v>
      </c>
      <c r="G113" s="3">
        <v>70</v>
      </c>
      <c r="H113" s="3">
        <v>70</v>
      </c>
      <c r="I113" s="2">
        <v>0</v>
      </c>
      <c r="J113" t="s">
        <v>33</v>
      </c>
      <c r="K113" t="s">
        <v>34</v>
      </c>
      <c r="L113" s="1">
        <v>46067</v>
      </c>
      <c r="M113">
        <v>334</v>
      </c>
      <c r="N113" s="3">
        <v>23380</v>
      </c>
      <c r="O113" s="3">
        <v>27.16</v>
      </c>
      <c r="P113" s="2">
        <v>0.61199999999999999</v>
      </c>
      <c r="Q113">
        <v>1765</v>
      </c>
      <c r="R113">
        <v>5.28</v>
      </c>
      <c r="S113" s="2">
        <v>0.15909999999999999</v>
      </c>
      <c r="T113" t="s">
        <v>27</v>
      </c>
      <c r="U113" t="s">
        <v>40</v>
      </c>
      <c r="V113" s="3">
        <f>retail_dataset_additional_200_rows[[#This Row],[Revenue_Week]]*retail_dataset_additional_200_rows[[#This Row],[MarginPct]]</f>
        <v>14308.56</v>
      </c>
    </row>
    <row r="114" spans="1:22" x14ac:dyDescent="0.25">
      <c r="A114" t="s">
        <v>198</v>
      </c>
      <c r="B114" t="s">
        <v>50</v>
      </c>
      <c r="C114" t="s">
        <v>83</v>
      </c>
      <c r="D114" s="1">
        <v>46266</v>
      </c>
      <c r="E114">
        <v>2024</v>
      </c>
      <c r="F114" t="s">
        <v>32</v>
      </c>
      <c r="G114" s="3">
        <v>55</v>
      </c>
      <c r="H114" s="3">
        <v>55</v>
      </c>
      <c r="I114" s="2">
        <v>0</v>
      </c>
      <c r="J114" t="s">
        <v>33</v>
      </c>
      <c r="K114" t="s">
        <v>34</v>
      </c>
      <c r="L114" s="1">
        <v>46061</v>
      </c>
      <c r="M114">
        <v>119</v>
      </c>
      <c r="N114" s="3">
        <v>6545</v>
      </c>
      <c r="O114" s="3">
        <v>19.489999999999998</v>
      </c>
      <c r="P114" s="2">
        <v>0.64559999999999995</v>
      </c>
      <c r="Q114">
        <v>309</v>
      </c>
      <c r="R114">
        <v>2.6</v>
      </c>
      <c r="S114" s="2">
        <v>0.27800000000000002</v>
      </c>
      <c r="T114" t="s">
        <v>52</v>
      </c>
      <c r="U114" t="s">
        <v>28</v>
      </c>
      <c r="V114" s="3">
        <f>retail_dataset_additional_200_rows[[#This Row],[Revenue_Week]]*retail_dataset_additional_200_rows[[#This Row],[MarginPct]]</f>
        <v>4225.4519999999993</v>
      </c>
    </row>
    <row r="115" spans="1:22" x14ac:dyDescent="0.25">
      <c r="A115" t="s">
        <v>199</v>
      </c>
      <c r="B115" t="s">
        <v>47</v>
      </c>
      <c r="C115" t="s">
        <v>48</v>
      </c>
      <c r="D115" s="1">
        <v>46113</v>
      </c>
      <c r="E115">
        <v>2023</v>
      </c>
      <c r="F115" t="s">
        <v>24</v>
      </c>
      <c r="G115" s="3">
        <v>45</v>
      </c>
      <c r="H115" s="3">
        <v>36</v>
      </c>
      <c r="I115" s="2">
        <v>0.2</v>
      </c>
      <c r="J115" t="s">
        <v>25</v>
      </c>
      <c r="K115" t="s">
        <v>45</v>
      </c>
      <c r="L115" s="1">
        <v>46068</v>
      </c>
      <c r="M115">
        <v>347</v>
      </c>
      <c r="N115" s="3">
        <v>12492</v>
      </c>
      <c r="O115" s="3">
        <v>20.97</v>
      </c>
      <c r="P115" s="2">
        <v>0.41749999999999998</v>
      </c>
      <c r="Q115">
        <v>918</v>
      </c>
      <c r="R115">
        <v>2.65</v>
      </c>
      <c r="S115" s="2">
        <v>0.27429999999999999</v>
      </c>
      <c r="T115" t="s">
        <v>39</v>
      </c>
      <c r="U115" t="s">
        <v>28</v>
      </c>
      <c r="V115" s="3">
        <f>retail_dataset_additional_200_rows[[#This Row],[Revenue_Week]]*retail_dataset_additional_200_rows[[#This Row],[MarginPct]]</f>
        <v>5215.41</v>
      </c>
    </row>
    <row r="116" spans="1:22" x14ac:dyDescent="0.25">
      <c r="A116" t="s">
        <v>200</v>
      </c>
      <c r="B116" t="s">
        <v>65</v>
      </c>
      <c r="C116" t="s">
        <v>66</v>
      </c>
      <c r="D116" s="1">
        <v>46143</v>
      </c>
      <c r="E116">
        <v>2023</v>
      </c>
      <c r="F116" t="s">
        <v>32</v>
      </c>
      <c r="G116" s="3">
        <v>120</v>
      </c>
      <c r="H116" s="3">
        <v>120</v>
      </c>
      <c r="I116" s="2">
        <v>0</v>
      </c>
      <c r="J116" t="s">
        <v>33</v>
      </c>
      <c r="K116" t="s">
        <v>34</v>
      </c>
      <c r="L116" s="1">
        <v>46058</v>
      </c>
      <c r="M116">
        <v>377</v>
      </c>
      <c r="N116" s="3">
        <v>45240</v>
      </c>
      <c r="O116" s="3">
        <v>70.650000000000006</v>
      </c>
      <c r="P116" s="2">
        <v>0.41120000000000001</v>
      </c>
      <c r="Q116">
        <v>1489</v>
      </c>
      <c r="R116">
        <v>3.95</v>
      </c>
      <c r="S116" s="2">
        <v>0.20200000000000001</v>
      </c>
      <c r="T116" t="s">
        <v>27</v>
      </c>
      <c r="U116" t="s">
        <v>67</v>
      </c>
      <c r="V116" s="3">
        <f>retail_dataset_additional_200_rows[[#This Row],[Revenue_Week]]*retail_dataset_additional_200_rows[[#This Row],[MarginPct]]</f>
        <v>18602.688000000002</v>
      </c>
    </row>
    <row r="117" spans="1:22" x14ac:dyDescent="0.25">
      <c r="A117" t="s">
        <v>201</v>
      </c>
      <c r="B117" t="s">
        <v>43</v>
      </c>
      <c r="C117" t="s">
        <v>54</v>
      </c>
      <c r="D117" s="1">
        <v>46113</v>
      </c>
      <c r="E117">
        <v>2024</v>
      </c>
      <c r="F117" t="s">
        <v>32</v>
      </c>
      <c r="G117" s="3">
        <v>60</v>
      </c>
      <c r="H117" s="3">
        <v>60</v>
      </c>
      <c r="I117" s="2">
        <v>0</v>
      </c>
      <c r="J117" t="s">
        <v>33</v>
      </c>
      <c r="K117" t="s">
        <v>34</v>
      </c>
      <c r="L117" s="1">
        <v>46067</v>
      </c>
      <c r="M117">
        <v>714</v>
      </c>
      <c r="N117" s="3">
        <v>42840</v>
      </c>
      <c r="O117" s="3">
        <v>32.96</v>
      </c>
      <c r="P117" s="2">
        <v>0.45069999999999999</v>
      </c>
      <c r="Q117">
        <v>540</v>
      </c>
      <c r="R117">
        <v>0.76</v>
      </c>
      <c r="S117" s="2">
        <v>0.56940000000000002</v>
      </c>
      <c r="T117" t="s">
        <v>52</v>
      </c>
      <c r="U117" t="s">
        <v>35</v>
      </c>
      <c r="V117" s="3">
        <f>retail_dataset_additional_200_rows[[#This Row],[Revenue_Week]]*retail_dataset_additional_200_rows[[#This Row],[MarginPct]]</f>
        <v>19307.988000000001</v>
      </c>
    </row>
    <row r="118" spans="1:22" x14ac:dyDescent="0.25">
      <c r="A118" t="s">
        <v>202</v>
      </c>
      <c r="B118" t="s">
        <v>65</v>
      </c>
      <c r="C118" t="s">
        <v>119</v>
      </c>
      <c r="D118" s="1">
        <v>46174</v>
      </c>
      <c r="E118">
        <v>2025</v>
      </c>
      <c r="F118" t="s">
        <v>24</v>
      </c>
      <c r="G118" s="3">
        <v>75</v>
      </c>
      <c r="H118" s="3">
        <v>60</v>
      </c>
      <c r="I118" s="2">
        <v>0.2</v>
      </c>
      <c r="J118" t="s">
        <v>25</v>
      </c>
      <c r="K118" t="s">
        <v>45</v>
      </c>
      <c r="L118" s="1">
        <v>46054</v>
      </c>
      <c r="M118">
        <v>694</v>
      </c>
      <c r="N118" s="3">
        <v>41640</v>
      </c>
      <c r="O118" s="3">
        <v>37.01</v>
      </c>
      <c r="P118" s="2">
        <v>0.38319999999999999</v>
      </c>
      <c r="Q118">
        <v>1531</v>
      </c>
      <c r="R118">
        <v>2.21</v>
      </c>
      <c r="S118" s="2">
        <v>0.31190000000000001</v>
      </c>
      <c r="T118" t="s">
        <v>52</v>
      </c>
      <c r="U118" t="s">
        <v>40</v>
      </c>
      <c r="V118" s="3">
        <f>retail_dataset_additional_200_rows[[#This Row],[Revenue_Week]]*retail_dataset_additional_200_rows[[#This Row],[MarginPct]]</f>
        <v>15956.447999999999</v>
      </c>
    </row>
    <row r="119" spans="1:22" x14ac:dyDescent="0.25">
      <c r="A119" t="s">
        <v>203</v>
      </c>
      <c r="B119" t="s">
        <v>42</v>
      </c>
      <c r="C119" t="s">
        <v>43</v>
      </c>
      <c r="D119" s="1">
        <v>46235</v>
      </c>
      <c r="E119">
        <v>2024</v>
      </c>
      <c r="F119" t="s">
        <v>24</v>
      </c>
      <c r="G119" s="3">
        <v>45</v>
      </c>
      <c r="H119" s="3">
        <v>36</v>
      </c>
      <c r="I119" s="2">
        <v>0.2</v>
      </c>
      <c r="J119" t="s">
        <v>25</v>
      </c>
      <c r="K119" t="s">
        <v>26</v>
      </c>
      <c r="L119" s="1">
        <v>46054</v>
      </c>
      <c r="M119">
        <v>537</v>
      </c>
      <c r="N119" s="3">
        <v>19332</v>
      </c>
      <c r="O119" s="3">
        <v>19.02</v>
      </c>
      <c r="P119" s="2">
        <v>0.47170000000000001</v>
      </c>
      <c r="Q119">
        <v>375</v>
      </c>
      <c r="R119">
        <v>0.7</v>
      </c>
      <c r="S119" s="2">
        <v>0.58879999999999999</v>
      </c>
      <c r="T119" t="s">
        <v>52</v>
      </c>
      <c r="U119" t="s">
        <v>40</v>
      </c>
      <c r="V119" s="3">
        <f>retail_dataset_additional_200_rows[[#This Row],[Revenue_Week]]*retail_dataset_additional_200_rows[[#This Row],[MarginPct]]</f>
        <v>9118.9043999999994</v>
      </c>
    </row>
    <row r="120" spans="1:22" x14ac:dyDescent="0.25">
      <c r="A120" t="s">
        <v>204</v>
      </c>
      <c r="B120" t="s">
        <v>47</v>
      </c>
      <c r="C120" t="s">
        <v>96</v>
      </c>
      <c r="D120" s="1">
        <v>46266</v>
      </c>
      <c r="E120">
        <v>2023</v>
      </c>
      <c r="F120" t="s">
        <v>32</v>
      </c>
      <c r="G120" s="3">
        <v>75</v>
      </c>
      <c r="H120" s="3">
        <v>75</v>
      </c>
      <c r="I120" s="2">
        <v>0</v>
      </c>
      <c r="J120" t="s">
        <v>33</v>
      </c>
      <c r="K120" t="s">
        <v>34</v>
      </c>
      <c r="L120" s="1">
        <v>46064</v>
      </c>
      <c r="M120">
        <v>463</v>
      </c>
      <c r="N120" s="3">
        <v>34725</v>
      </c>
      <c r="O120" s="3">
        <v>36.840000000000003</v>
      </c>
      <c r="P120" s="2">
        <v>0.50880000000000003</v>
      </c>
      <c r="Q120">
        <v>1325</v>
      </c>
      <c r="R120">
        <v>2.86</v>
      </c>
      <c r="S120" s="2">
        <v>0.25890000000000002</v>
      </c>
      <c r="T120" t="s">
        <v>52</v>
      </c>
      <c r="U120" t="s">
        <v>67</v>
      </c>
      <c r="V120" s="3">
        <f>retail_dataset_additional_200_rows[[#This Row],[Revenue_Week]]*retail_dataset_additional_200_rows[[#This Row],[MarginPct]]</f>
        <v>17668.080000000002</v>
      </c>
    </row>
    <row r="121" spans="1:22" x14ac:dyDescent="0.25">
      <c r="A121" t="s">
        <v>205</v>
      </c>
      <c r="B121" t="s">
        <v>22</v>
      </c>
      <c r="C121" t="s">
        <v>206</v>
      </c>
      <c r="D121" s="1">
        <v>46174</v>
      </c>
      <c r="E121">
        <v>2024</v>
      </c>
      <c r="F121" t="s">
        <v>24</v>
      </c>
      <c r="G121" s="3">
        <v>45</v>
      </c>
      <c r="H121" s="3">
        <v>36</v>
      </c>
      <c r="I121" s="2">
        <v>0.2</v>
      </c>
      <c r="J121" t="s">
        <v>25</v>
      </c>
      <c r="K121" t="s">
        <v>45</v>
      </c>
      <c r="L121" s="1">
        <v>46066</v>
      </c>
      <c r="M121">
        <v>367</v>
      </c>
      <c r="N121" s="3">
        <v>13212</v>
      </c>
      <c r="O121" s="3">
        <v>23.57</v>
      </c>
      <c r="P121" s="2">
        <v>0.3453</v>
      </c>
      <c r="Q121">
        <v>1273</v>
      </c>
      <c r="R121">
        <v>3.47</v>
      </c>
      <c r="S121" s="2">
        <v>0.2238</v>
      </c>
      <c r="T121" t="s">
        <v>39</v>
      </c>
      <c r="U121" t="s">
        <v>67</v>
      </c>
      <c r="V121" s="3">
        <f>retail_dataset_additional_200_rows[[#This Row],[Revenue_Week]]*retail_dataset_additional_200_rows[[#This Row],[MarginPct]]</f>
        <v>4562.1036000000004</v>
      </c>
    </row>
    <row r="122" spans="1:22" x14ac:dyDescent="0.25">
      <c r="A122" t="s">
        <v>207</v>
      </c>
      <c r="B122" t="s">
        <v>47</v>
      </c>
      <c r="C122" t="s">
        <v>48</v>
      </c>
      <c r="D122" s="1">
        <v>46023</v>
      </c>
      <c r="E122">
        <v>2024</v>
      </c>
      <c r="F122" t="s">
        <v>24</v>
      </c>
      <c r="G122" s="3">
        <v>70</v>
      </c>
      <c r="H122" s="3">
        <v>56</v>
      </c>
      <c r="I122" s="2">
        <v>0.2</v>
      </c>
      <c r="J122" t="s">
        <v>25</v>
      </c>
      <c r="K122" t="s">
        <v>45</v>
      </c>
      <c r="L122" s="1">
        <v>46057</v>
      </c>
      <c r="M122">
        <v>290</v>
      </c>
      <c r="N122" s="3">
        <v>16240</v>
      </c>
      <c r="O122" s="3">
        <v>37.03</v>
      </c>
      <c r="P122" s="2">
        <v>0.3387</v>
      </c>
      <c r="Q122">
        <v>1491</v>
      </c>
      <c r="R122">
        <v>5.14</v>
      </c>
      <c r="S122" s="2">
        <v>0.1628</v>
      </c>
      <c r="T122" t="s">
        <v>27</v>
      </c>
      <c r="U122" t="s">
        <v>40</v>
      </c>
      <c r="V122" s="3">
        <f>retail_dataset_additional_200_rows[[#This Row],[Revenue_Week]]*retail_dataset_additional_200_rows[[#This Row],[MarginPct]]</f>
        <v>5500.4880000000003</v>
      </c>
    </row>
    <row r="123" spans="1:22" x14ac:dyDescent="0.25">
      <c r="A123" t="s">
        <v>208</v>
      </c>
      <c r="B123" t="s">
        <v>69</v>
      </c>
      <c r="C123" t="s">
        <v>74</v>
      </c>
      <c r="D123" s="1">
        <v>46235</v>
      </c>
      <c r="E123">
        <v>2023</v>
      </c>
      <c r="F123" t="s">
        <v>24</v>
      </c>
      <c r="G123" s="3">
        <v>75</v>
      </c>
      <c r="H123" s="3">
        <v>60</v>
      </c>
      <c r="I123" s="2">
        <v>0.2</v>
      </c>
      <c r="J123" t="s">
        <v>25</v>
      </c>
      <c r="K123" t="s">
        <v>26</v>
      </c>
      <c r="L123" s="1">
        <v>46054</v>
      </c>
      <c r="M123">
        <v>256</v>
      </c>
      <c r="N123" s="3">
        <v>15360</v>
      </c>
      <c r="O123" s="3">
        <v>33.65</v>
      </c>
      <c r="P123" s="2">
        <v>0.43919999999999998</v>
      </c>
      <c r="Q123">
        <v>1717</v>
      </c>
      <c r="R123">
        <v>6.71</v>
      </c>
      <c r="S123" s="2">
        <v>0.1298</v>
      </c>
      <c r="T123" t="s">
        <v>52</v>
      </c>
      <c r="U123" t="s">
        <v>35</v>
      </c>
      <c r="V123" s="3">
        <f>retail_dataset_additional_200_rows[[#This Row],[Revenue_Week]]*retail_dataset_additional_200_rows[[#This Row],[MarginPct]]</f>
        <v>6746.1120000000001</v>
      </c>
    </row>
    <row r="124" spans="1:22" x14ac:dyDescent="0.25">
      <c r="A124" t="s">
        <v>209</v>
      </c>
      <c r="B124" t="s">
        <v>62</v>
      </c>
      <c r="C124" t="s">
        <v>92</v>
      </c>
      <c r="D124" s="1">
        <v>46174</v>
      </c>
      <c r="E124">
        <v>2023</v>
      </c>
      <c r="F124" t="s">
        <v>32</v>
      </c>
      <c r="G124" s="3">
        <v>30</v>
      </c>
      <c r="H124" s="3">
        <v>30</v>
      </c>
      <c r="I124" s="2">
        <v>0</v>
      </c>
      <c r="J124" t="s">
        <v>33</v>
      </c>
      <c r="K124" t="s">
        <v>34</v>
      </c>
      <c r="L124" s="1">
        <v>46055</v>
      </c>
      <c r="M124">
        <v>434</v>
      </c>
      <c r="N124" s="3">
        <v>13020</v>
      </c>
      <c r="O124" s="3">
        <v>17.43</v>
      </c>
      <c r="P124" s="2">
        <v>0.41899999999999998</v>
      </c>
      <c r="Q124">
        <v>546</v>
      </c>
      <c r="R124">
        <v>1.26</v>
      </c>
      <c r="S124" s="2">
        <v>0.44290000000000002</v>
      </c>
      <c r="T124" t="s">
        <v>52</v>
      </c>
      <c r="U124" t="s">
        <v>67</v>
      </c>
      <c r="V124" s="3">
        <f>retail_dataset_additional_200_rows[[#This Row],[Revenue_Week]]*retail_dataset_additional_200_rows[[#This Row],[MarginPct]]</f>
        <v>5455.38</v>
      </c>
    </row>
    <row r="125" spans="1:22" x14ac:dyDescent="0.25">
      <c r="A125" t="s">
        <v>210</v>
      </c>
      <c r="B125" t="s">
        <v>56</v>
      </c>
      <c r="C125" t="s">
        <v>57</v>
      </c>
      <c r="D125" s="1">
        <v>46357</v>
      </c>
      <c r="E125">
        <v>2023</v>
      </c>
      <c r="F125" t="s">
        <v>32</v>
      </c>
      <c r="G125" s="3">
        <v>35</v>
      </c>
      <c r="H125" s="3">
        <v>35</v>
      </c>
      <c r="I125" s="2">
        <v>0</v>
      </c>
      <c r="J125" t="s">
        <v>33</v>
      </c>
      <c r="K125" t="s">
        <v>34</v>
      </c>
      <c r="L125" s="1">
        <v>46066</v>
      </c>
      <c r="M125">
        <v>651</v>
      </c>
      <c r="N125" s="3">
        <v>22785</v>
      </c>
      <c r="O125" s="3">
        <v>15.11</v>
      </c>
      <c r="P125" s="2">
        <v>0.56830000000000003</v>
      </c>
      <c r="Q125">
        <v>965</v>
      </c>
      <c r="R125">
        <v>1.48</v>
      </c>
      <c r="S125" s="2">
        <v>0.40279999999999999</v>
      </c>
      <c r="T125" t="s">
        <v>39</v>
      </c>
      <c r="U125" t="s">
        <v>40</v>
      </c>
      <c r="V125" s="3">
        <f>retail_dataset_additional_200_rows[[#This Row],[Revenue_Week]]*retail_dataset_additional_200_rows[[#This Row],[MarginPct]]</f>
        <v>12948.7155</v>
      </c>
    </row>
    <row r="126" spans="1:22" x14ac:dyDescent="0.25">
      <c r="A126" t="s">
        <v>211</v>
      </c>
      <c r="B126" t="s">
        <v>43</v>
      </c>
      <c r="C126" t="s">
        <v>88</v>
      </c>
      <c r="D126" s="1">
        <v>46266</v>
      </c>
      <c r="E126">
        <v>2025</v>
      </c>
      <c r="F126" t="s">
        <v>24</v>
      </c>
      <c r="G126" s="3">
        <v>150</v>
      </c>
      <c r="H126" s="3">
        <v>120</v>
      </c>
      <c r="I126" s="2">
        <v>0.2</v>
      </c>
      <c r="J126" t="s">
        <v>25</v>
      </c>
      <c r="K126" t="s">
        <v>45</v>
      </c>
      <c r="L126" s="1">
        <v>46056</v>
      </c>
      <c r="M126">
        <v>316</v>
      </c>
      <c r="N126" s="3">
        <v>37920</v>
      </c>
      <c r="O126" s="3">
        <v>82.17</v>
      </c>
      <c r="P126" s="2">
        <v>0.31519999999999998</v>
      </c>
      <c r="Q126">
        <v>1825</v>
      </c>
      <c r="R126">
        <v>5.78</v>
      </c>
      <c r="S126" s="2">
        <v>0.14760000000000001</v>
      </c>
      <c r="T126" t="s">
        <v>52</v>
      </c>
      <c r="U126" t="s">
        <v>28</v>
      </c>
      <c r="V126" s="3">
        <f>retail_dataset_additional_200_rows[[#This Row],[Revenue_Week]]*retail_dataset_additional_200_rows[[#This Row],[MarginPct]]</f>
        <v>11952.384</v>
      </c>
    </row>
    <row r="127" spans="1:22" x14ac:dyDescent="0.25">
      <c r="A127" t="s">
        <v>212</v>
      </c>
      <c r="B127" t="s">
        <v>69</v>
      </c>
      <c r="C127" t="s">
        <v>90</v>
      </c>
      <c r="D127" s="1">
        <v>46143</v>
      </c>
      <c r="E127">
        <v>2025</v>
      </c>
      <c r="F127" t="s">
        <v>24</v>
      </c>
      <c r="G127" s="3">
        <v>35</v>
      </c>
      <c r="H127" s="3">
        <v>28</v>
      </c>
      <c r="I127" s="2">
        <v>0.2</v>
      </c>
      <c r="J127" t="s">
        <v>25</v>
      </c>
      <c r="K127" t="s">
        <v>45</v>
      </c>
      <c r="L127" s="1">
        <v>46061</v>
      </c>
      <c r="M127">
        <v>439</v>
      </c>
      <c r="N127" s="3">
        <v>12292</v>
      </c>
      <c r="O127" s="3">
        <v>16.899999999999999</v>
      </c>
      <c r="P127" s="2">
        <v>0.39639999999999997</v>
      </c>
      <c r="Q127">
        <v>1562</v>
      </c>
      <c r="R127">
        <v>3.56</v>
      </c>
      <c r="S127" s="2">
        <v>0.21940000000000001</v>
      </c>
      <c r="T127" t="s">
        <v>39</v>
      </c>
      <c r="U127" t="s">
        <v>35</v>
      </c>
      <c r="V127" s="3">
        <f>retail_dataset_additional_200_rows[[#This Row],[Revenue_Week]]*retail_dataset_additional_200_rows[[#This Row],[MarginPct]]</f>
        <v>4872.5487999999996</v>
      </c>
    </row>
    <row r="128" spans="1:22" x14ac:dyDescent="0.25">
      <c r="A128" t="s">
        <v>213</v>
      </c>
      <c r="B128" t="s">
        <v>37</v>
      </c>
      <c r="C128" t="s">
        <v>214</v>
      </c>
      <c r="D128" s="1">
        <v>46235</v>
      </c>
      <c r="E128">
        <v>2023</v>
      </c>
      <c r="F128" t="s">
        <v>32</v>
      </c>
      <c r="G128" s="3">
        <v>30</v>
      </c>
      <c r="H128" s="3">
        <v>30</v>
      </c>
      <c r="I128" s="2">
        <v>0</v>
      </c>
      <c r="J128" t="s">
        <v>33</v>
      </c>
      <c r="K128" t="s">
        <v>34</v>
      </c>
      <c r="L128" s="1">
        <v>46066</v>
      </c>
      <c r="M128">
        <v>647</v>
      </c>
      <c r="N128" s="3">
        <v>19410</v>
      </c>
      <c r="O128" s="3">
        <v>14.94</v>
      </c>
      <c r="P128" s="2">
        <v>0.502</v>
      </c>
      <c r="Q128">
        <v>534</v>
      </c>
      <c r="R128">
        <v>0.83</v>
      </c>
      <c r="S128" s="2">
        <v>0.54779999999999995</v>
      </c>
      <c r="T128" t="s">
        <v>27</v>
      </c>
      <c r="U128" t="s">
        <v>28</v>
      </c>
      <c r="V128" s="3">
        <f>retail_dataset_additional_200_rows[[#This Row],[Revenue_Week]]*retail_dataset_additional_200_rows[[#This Row],[MarginPct]]</f>
        <v>9743.82</v>
      </c>
    </row>
    <row r="129" spans="1:22" x14ac:dyDescent="0.25">
      <c r="A129" t="s">
        <v>215</v>
      </c>
      <c r="B129" t="s">
        <v>98</v>
      </c>
      <c r="C129" t="s">
        <v>115</v>
      </c>
      <c r="D129" s="1">
        <v>46082</v>
      </c>
      <c r="E129">
        <v>2024</v>
      </c>
      <c r="F129" t="s">
        <v>32</v>
      </c>
      <c r="G129" s="3">
        <v>140</v>
      </c>
      <c r="H129" s="3">
        <v>140</v>
      </c>
      <c r="I129" s="2">
        <v>0</v>
      </c>
      <c r="J129" t="s">
        <v>33</v>
      </c>
      <c r="K129" t="s">
        <v>34</v>
      </c>
      <c r="L129" s="1">
        <v>46059</v>
      </c>
      <c r="M129">
        <v>755</v>
      </c>
      <c r="N129" s="3">
        <v>105700</v>
      </c>
      <c r="O129" s="3">
        <v>55.25</v>
      </c>
      <c r="P129" s="2">
        <v>0.60540000000000005</v>
      </c>
      <c r="Q129">
        <v>404</v>
      </c>
      <c r="R129">
        <v>0.54</v>
      </c>
      <c r="S129" s="2">
        <v>0.65139999999999998</v>
      </c>
      <c r="T129" t="s">
        <v>27</v>
      </c>
      <c r="U129" t="s">
        <v>28</v>
      </c>
      <c r="V129" s="3">
        <f>retail_dataset_additional_200_rows[[#This Row],[Revenue_Week]]*retail_dataset_additional_200_rows[[#This Row],[MarginPct]]</f>
        <v>63990.780000000006</v>
      </c>
    </row>
    <row r="130" spans="1:22" x14ac:dyDescent="0.25">
      <c r="A130" t="s">
        <v>216</v>
      </c>
      <c r="B130" t="s">
        <v>30</v>
      </c>
      <c r="C130" t="s">
        <v>31</v>
      </c>
      <c r="D130" s="1">
        <v>46113</v>
      </c>
      <c r="E130">
        <v>2024</v>
      </c>
      <c r="F130" t="s">
        <v>24</v>
      </c>
      <c r="G130" s="3">
        <v>80</v>
      </c>
      <c r="H130" s="3">
        <v>64</v>
      </c>
      <c r="I130" s="2">
        <v>0.2</v>
      </c>
      <c r="J130" t="s">
        <v>25</v>
      </c>
      <c r="K130" t="s">
        <v>45</v>
      </c>
      <c r="L130" s="1">
        <v>46067</v>
      </c>
      <c r="M130">
        <v>253</v>
      </c>
      <c r="N130" s="3">
        <v>16192</v>
      </c>
      <c r="O130" s="3">
        <v>46.72</v>
      </c>
      <c r="P130" s="2">
        <v>0.27</v>
      </c>
      <c r="Q130">
        <v>1739</v>
      </c>
      <c r="R130">
        <v>6.87</v>
      </c>
      <c r="S130" s="2">
        <v>0.127</v>
      </c>
      <c r="T130" t="s">
        <v>39</v>
      </c>
      <c r="U130" t="s">
        <v>40</v>
      </c>
      <c r="V130" s="3">
        <f>retail_dataset_additional_200_rows[[#This Row],[Revenue_Week]]*retail_dataset_additional_200_rows[[#This Row],[MarginPct]]</f>
        <v>4371.84</v>
      </c>
    </row>
    <row r="131" spans="1:22" x14ac:dyDescent="0.25">
      <c r="A131" t="s">
        <v>217</v>
      </c>
      <c r="B131" t="s">
        <v>42</v>
      </c>
      <c r="C131" t="s">
        <v>72</v>
      </c>
      <c r="D131" s="1">
        <v>46143</v>
      </c>
      <c r="E131">
        <v>2023</v>
      </c>
      <c r="F131" t="s">
        <v>32</v>
      </c>
      <c r="G131" s="3">
        <v>25</v>
      </c>
      <c r="H131" s="3">
        <v>25</v>
      </c>
      <c r="I131" s="2">
        <v>0</v>
      </c>
      <c r="J131" t="s">
        <v>33</v>
      </c>
      <c r="K131" t="s">
        <v>34</v>
      </c>
      <c r="L131" s="1">
        <v>46054</v>
      </c>
      <c r="M131">
        <v>467</v>
      </c>
      <c r="N131" s="3">
        <v>11675</v>
      </c>
      <c r="O131" s="3">
        <v>12.38</v>
      </c>
      <c r="P131" s="2">
        <v>0.50480000000000003</v>
      </c>
      <c r="Q131">
        <v>1542</v>
      </c>
      <c r="R131">
        <v>3.3</v>
      </c>
      <c r="S131" s="2">
        <v>0.23250000000000001</v>
      </c>
      <c r="T131" t="s">
        <v>27</v>
      </c>
      <c r="U131" t="s">
        <v>67</v>
      </c>
      <c r="V131" s="3">
        <f>retail_dataset_additional_200_rows[[#This Row],[Revenue_Week]]*retail_dataset_additional_200_rows[[#This Row],[MarginPct]]</f>
        <v>5893.54</v>
      </c>
    </row>
    <row r="132" spans="1:22" x14ac:dyDescent="0.25">
      <c r="A132" t="s">
        <v>218</v>
      </c>
      <c r="B132" t="s">
        <v>69</v>
      </c>
      <c r="C132" t="s">
        <v>74</v>
      </c>
      <c r="D132" s="1">
        <v>46113</v>
      </c>
      <c r="E132">
        <v>2025</v>
      </c>
      <c r="F132" t="s">
        <v>24</v>
      </c>
      <c r="G132" s="3">
        <v>55</v>
      </c>
      <c r="H132" s="3">
        <v>44</v>
      </c>
      <c r="I132" s="2">
        <v>0.2</v>
      </c>
      <c r="J132" t="s">
        <v>25</v>
      </c>
      <c r="K132" t="s">
        <v>45</v>
      </c>
      <c r="L132" s="1">
        <v>46063</v>
      </c>
      <c r="M132">
        <v>169</v>
      </c>
      <c r="N132" s="3">
        <v>7436</v>
      </c>
      <c r="O132" s="3">
        <v>29.16</v>
      </c>
      <c r="P132" s="2">
        <v>0.33729999999999999</v>
      </c>
      <c r="Q132">
        <v>1343</v>
      </c>
      <c r="R132">
        <v>7.95</v>
      </c>
      <c r="S132" s="2">
        <v>0.1118</v>
      </c>
      <c r="T132" t="s">
        <v>39</v>
      </c>
      <c r="U132" t="s">
        <v>35</v>
      </c>
      <c r="V132" s="3">
        <f>retail_dataset_additional_200_rows[[#This Row],[Revenue_Week]]*retail_dataset_additional_200_rows[[#This Row],[MarginPct]]</f>
        <v>2508.1628000000001</v>
      </c>
    </row>
    <row r="133" spans="1:22" x14ac:dyDescent="0.25">
      <c r="A133" t="s">
        <v>219</v>
      </c>
      <c r="B133" t="s">
        <v>50</v>
      </c>
      <c r="C133" t="s">
        <v>143</v>
      </c>
      <c r="D133" s="1">
        <v>46174</v>
      </c>
      <c r="E133">
        <v>2023</v>
      </c>
      <c r="F133" t="s">
        <v>32</v>
      </c>
      <c r="G133" s="3">
        <v>25</v>
      </c>
      <c r="H133" s="3">
        <v>25</v>
      </c>
      <c r="I133" s="2">
        <v>0</v>
      </c>
      <c r="J133" t="s">
        <v>33</v>
      </c>
      <c r="K133" t="s">
        <v>34</v>
      </c>
      <c r="L133" s="1">
        <v>46068</v>
      </c>
      <c r="M133">
        <v>733</v>
      </c>
      <c r="N133" s="3">
        <v>18325</v>
      </c>
      <c r="O133" s="3">
        <v>10.9</v>
      </c>
      <c r="P133" s="2">
        <v>0.56399999999999995</v>
      </c>
      <c r="Q133">
        <v>438</v>
      </c>
      <c r="R133">
        <v>0.6</v>
      </c>
      <c r="S133" s="2">
        <v>0.626</v>
      </c>
      <c r="T133" t="s">
        <v>39</v>
      </c>
      <c r="U133" t="s">
        <v>67</v>
      </c>
      <c r="V133" s="3">
        <f>retail_dataset_additional_200_rows[[#This Row],[Revenue_Week]]*retail_dataset_additional_200_rows[[#This Row],[MarginPct]]</f>
        <v>10335.299999999999</v>
      </c>
    </row>
    <row r="134" spans="1:22" x14ac:dyDescent="0.25">
      <c r="A134" t="s">
        <v>220</v>
      </c>
      <c r="B134" t="s">
        <v>59</v>
      </c>
      <c r="C134" t="s">
        <v>72</v>
      </c>
      <c r="D134" s="1">
        <v>46357</v>
      </c>
      <c r="E134">
        <v>2023</v>
      </c>
      <c r="F134" t="s">
        <v>32</v>
      </c>
      <c r="G134" s="3">
        <v>80</v>
      </c>
      <c r="H134" s="3">
        <v>80</v>
      </c>
      <c r="I134" s="2">
        <v>0</v>
      </c>
      <c r="J134" t="s">
        <v>33</v>
      </c>
      <c r="K134" t="s">
        <v>34</v>
      </c>
      <c r="L134" s="1">
        <v>46064</v>
      </c>
      <c r="M134">
        <v>82</v>
      </c>
      <c r="N134" s="3">
        <v>6560</v>
      </c>
      <c r="O134" s="3">
        <v>38.020000000000003</v>
      </c>
      <c r="P134" s="2">
        <v>0.52470000000000006</v>
      </c>
      <c r="Q134">
        <v>975</v>
      </c>
      <c r="R134">
        <v>11.89</v>
      </c>
      <c r="S134" s="2">
        <v>7.7600000000000002E-2</v>
      </c>
      <c r="T134" t="s">
        <v>27</v>
      </c>
      <c r="U134" t="s">
        <v>28</v>
      </c>
      <c r="V134" s="3">
        <f>retail_dataset_additional_200_rows[[#This Row],[Revenue_Week]]*retail_dataset_additional_200_rows[[#This Row],[MarginPct]]</f>
        <v>3442.0320000000002</v>
      </c>
    </row>
    <row r="135" spans="1:22" x14ac:dyDescent="0.25">
      <c r="A135" t="s">
        <v>221</v>
      </c>
      <c r="B135" t="s">
        <v>43</v>
      </c>
      <c r="C135" t="s">
        <v>107</v>
      </c>
      <c r="D135" s="1">
        <v>46235</v>
      </c>
      <c r="E135">
        <v>2025</v>
      </c>
      <c r="F135" t="s">
        <v>24</v>
      </c>
      <c r="G135" s="3">
        <v>60</v>
      </c>
      <c r="H135" s="3">
        <v>48</v>
      </c>
      <c r="I135" s="2">
        <v>0.2</v>
      </c>
      <c r="J135" t="s">
        <v>25</v>
      </c>
      <c r="K135" t="s">
        <v>45</v>
      </c>
      <c r="L135" s="1">
        <v>46068</v>
      </c>
      <c r="M135">
        <v>306</v>
      </c>
      <c r="N135" s="3">
        <v>14688</v>
      </c>
      <c r="O135" s="3">
        <v>34.270000000000003</v>
      </c>
      <c r="P135" s="2">
        <v>0.28599999999999998</v>
      </c>
      <c r="Q135">
        <v>1800</v>
      </c>
      <c r="R135">
        <v>5.88</v>
      </c>
      <c r="S135" s="2">
        <v>0.14530000000000001</v>
      </c>
      <c r="T135" t="s">
        <v>27</v>
      </c>
      <c r="U135" t="s">
        <v>35</v>
      </c>
      <c r="V135" s="3">
        <f>retail_dataset_additional_200_rows[[#This Row],[Revenue_Week]]*retail_dataset_additional_200_rows[[#This Row],[MarginPct]]</f>
        <v>4200.768</v>
      </c>
    </row>
    <row r="136" spans="1:22" x14ac:dyDescent="0.25">
      <c r="A136" t="s">
        <v>222</v>
      </c>
      <c r="B136" t="s">
        <v>69</v>
      </c>
      <c r="C136" t="s">
        <v>70</v>
      </c>
      <c r="D136" s="1">
        <v>46023</v>
      </c>
      <c r="E136">
        <v>2025</v>
      </c>
      <c r="F136" t="s">
        <v>24</v>
      </c>
      <c r="G136" s="3">
        <v>40</v>
      </c>
      <c r="H136" s="3">
        <v>32</v>
      </c>
      <c r="I136" s="2">
        <v>0.2</v>
      </c>
      <c r="J136" t="s">
        <v>25</v>
      </c>
      <c r="K136" t="s">
        <v>45</v>
      </c>
      <c r="L136" s="1">
        <v>46063</v>
      </c>
      <c r="M136">
        <v>272</v>
      </c>
      <c r="N136" s="3">
        <v>8704</v>
      </c>
      <c r="O136" s="3">
        <v>16.010000000000002</v>
      </c>
      <c r="P136" s="2">
        <v>0.49969999999999998</v>
      </c>
      <c r="Q136">
        <v>301</v>
      </c>
      <c r="R136">
        <v>1.1100000000000001</v>
      </c>
      <c r="S136" s="2">
        <v>0.47470000000000001</v>
      </c>
      <c r="T136" t="s">
        <v>27</v>
      </c>
      <c r="U136" t="s">
        <v>67</v>
      </c>
      <c r="V136" s="3">
        <f>retail_dataset_additional_200_rows[[#This Row],[Revenue_Week]]*retail_dataset_additional_200_rows[[#This Row],[MarginPct]]</f>
        <v>4349.3887999999997</v>
      </c>
    </row>
    <row r="137" spans="1:22" x14ac:dyDescent="0.25">
      <c r="A137" t="s">
        <v>223</v>
      </c>
      <c r="B137" t="s">
        <v>135</v>
      </c>
      <c r="C137" t="s">
        <v>31</v>
      </c>
      <c r="D137" s="1">
        <v>46023</v>
      </c>
      <c r="E137">
        <v>2023</v>
      </c>
      <c r="F137" t="s">
        <v>32</v>
      </c>
      <c r="G137" s="3">
        <v>25</v>
      </c>
      <c r="H137" s="3">
        <v>25</v>
      </c>
      <c r="I137" s="2">
        <v>0</v>
      </c>
      <c r="J137" t="s">
        <v>33</v>
      </c>
      <c r="K137" t="s">
        <v>34</v>
      </c>
      <c r="L137" s="1">
        <v>46059</v>
      </c>
      <c r="M137">
        <v>212</v>
      </c>
      <c r="N137" s="3">
        <v>5300</v>
      </c>
      <c r="O137" s="3">
        <v>14.73</v>
      </c>
      <c r="P137" s="2">
        <v>0.4108</v>
      </c>
      <c r="Q137">
        <v>1123</v>
      </c>
      <c r="R137">
        <v>5.3</v>
      </c>
      <c r="S137" s="2">
        <v>0.1588</v>
      </c>
      <c r="T137" t="s">
        <v>27</v>
      </c>
      <c r="U137" t="s">
        <v>35</v>
      </c>
      <c r="V137" s="3">
        <f>retail_dataset_additional_200_rows[[#This Row],[Revenue_Week]]*retail_dataset_additional_200_rows[[#This Row],[MarginPct]]</f>
        <v>2177.2399999999998</v>
      </c>
    </row>
    <row r="138" spans="1:22" x14ac:dyDescent="0.25">
      <c r="A138" t="s">
        <v>224</v>
      </c>
      <c r="B138" t="s">
        <v>195</v>
      </c>
      <c r="C138" t="s">
        <v>225</v>
      </c>
      <c r="D138" s="1">
        <v>46235</v>
      </c>
      <c r="E138">
        <v>2025</v>
      </c>
      <c r="F138" t="s">
        <v>32</v>
      </c>
      <c r="G138" s="3">
        <v>25</v>
      </c>
      <c r="H138" s="3">
        <v>25</v>
      </c>
      <c r="I138" s="2">
        <v>0</v>
      </c>
      <c r="J138" t="s">
        <v>33</v>
      </c>
      <c r="K138" t="s">
        <v>34</v>
      </c>
      <c r="L138" s="1">
        <v>46067</v>
      </c>
      <c r="M138">
        <v>696</v>
      </c>
      <c r="N138" s="3">
        <v>17400</v>
      </c>
      <c r="O138" s="3">
        <v>13.75</v>
      </c>
      <c r="P138" s="2">
        <v>0.45</v>
      </c>
      <c r="Q138">
        <v>1598</v>
      </c>
      <c r="R138">
        <v>2.2999999999999998</v>
      </c>
      <c r="S138" s="2">
        <v>0.3034</v>
      </c>
      <c r="T138" t="s">
        <v>27</v>
      </c>
      <c r="U138" t="s">
        <v>40</v>
      </c>
      <c r="V138" s="3">
        <f>retail_dataset_additional_200_rows[[#This Row],[Revenue_Week]]*retail_dataset_additional_200_rows[[#This Row],[MarginPct]]</f>
        <v>7830</v>
      </c>
    </row>
    <row r="139" spans="1:22" x14ac:dyDescent="0.25">
      <c r="A139" t="s">
        <v>226</v>
      </c>
      <c r="B139" t="s">
        <v>22</v>
      </c>
      <c r="C139" t="s">
        <v>111</v>
      </c>
      <c r="D139" s="1">
        <v>46357</v>
      </c>
      <c r="E139">
        <v>2023</v>
      </c>
      <c r="F139" t="s">
        <v>24</v>
      </c>
      <c r="G139" s="3">
        <v>25</v>
      </c>
      <c r="H139" s="3">
        <v>20</v>
      </c>
      <c r="I139" s="2">
        <v>0.2</v>
      </c>
      <c r="J139" t="s">
        <v>25</v>
      </c>
      <c r="K139" t="s">
        <v>45</v>
      </c>
      <c r="L139" s="1">
        <v>46068</v>
      </c>
      <c r="M139">
        <v>477</v>
      </c>
      <c r="N139" s="3">
        <v>9540</v>
      </c>
      <c r="O139" s="3">
        <v>9.8699999999999992</v>
      </c>
      <c r="P139" s="2">
        <v>0.50649999999999995</v>
      </c>
      <c r="Q139">
        <v>1151</v>
      </c>
      <c r="R139">
        <v>2.41</v>
      </c>
      <c r="S139" s="2">
        <v>0.29299999999999998</v>
      </c>
      <c r="T139" t="s">
        <v>39</v>
      </c>
      <c r="U139" t="s">
        <v>35</v>
      </c>
      <c r="V139" s="3">
        <f>retail_dataset_additional_200_rows[[#This Row],[Revenue_Week]]*retail_dataset_additional_200_rows[[#This Row],[MarginPct]]</f>
        <v>4832.0099999999993</v>
      </c>
    </row>
    <row r="140" spans="1:22" x14ac:dyDescent="0.25">
      <c r="A140" t="s">
        <v>227</v>
      </c>
      <c r="B140" t="s">
        <v>30</v>
      </c>
      <c r="C140" t="s">
        <v>31</v>
      </c>
      <c r="D140" s="1">
        <v>46174</v>
      </c>
      <c r="E140">
        <v>2025</v>
      </c>
      <c r="F140" t="s">
        <v>32</v>
      </c>
      <c r="G140" s="3">
        <v>30</v>
      </c>
      <c r="H140" s="3">
        <v>30</v>
      </c>
      <c r="I140" s="2">
        <v>0</v>
      </c>
      <c r="J140" t="s">
        <v>33</v>
      </c>
      <c r="K140" t="s">
        <v>34</v>
      </c>
      <c r="L140" s="1">
        <v>46063</v>
      </c>
      <c r="M140">
        <v>671</v>
      </c>
      <c r="N140" s="3">
        <v>20130</v>
      </c>
      <c r="O140" s="3">
        <v>11.94</v>
      </c>
      <c r="P140" s="2">
        <v>0.60199999999999998</v>
      </c>
      <c r="Q140">
        <v>1504</v>
      </c>
      <c r="R140">
        <v>2.2400000000000002</v>
      </c>
      <c r="S140" s="2">
        <v>0.3085</v>
      </c>
      <c r="T140" t="s">
        <v>39</v>
      </c>
      <c r="U140" t="s">
        <v>67</v>
      </c>
      <c r="V140" s="3">
        <f>retail_dataset_additional_200_rows[[#This Row],[Revenue_Week]]*retail_dataset_additional_200_rows[[#This Row],[MarginPct]]</f>
        <v>12118.26</v>
      </c>
    </row>
    <row r="141" spans="1:22" x14ac:dyDescent="0.25">
      <c r="A141" t="s">
        <v>228</v>
      </c>
      <c r="B141" t="s">
        <v>65</v>
      </c>
      <c r="C141" t="s">
        <v>66</v>
      </c>
      <c r="D141" s="1">
        <v>46235</v>
      </c>
      <c r="E141">
        <v>2024</v>
      </c>
      <c r="F141" t="s">
        <v>24</v>
      </c>
      <c r="G141" s="3">
        <v>140</v>
      </c>
      <c r="H141" s="3">
        <v>112</v>
      </c>
      <c r="I141" s="2">
        <v>0.2</v>
      </c>
      <c r="J141" t="s">
        <v>25</v>
      </c>
      <c r="K141" t="s">
        <v>45</v>
      </c>
      <c r="L141" s="1">
        <v>46065</v>
      </c>
      <c r="M141">
        <v>590</v>
      </c>
      <c r="N141" s="3">
        <v>66080</v>
      </c>
      <c r="O141" s="3">
        <v>70.22</v>
      </c>
      <c r="P141" s="2">
        <v>0.373</v>
      </c>
      <c r="Q141">
        <v>565</v>
      </c>
      <c r="R141">
        <v>0.96</v>
      </c>
      <c r="S141" s="2">
        <v>0.51080000000000003</v>
      </c>
      <c r="T141" t="s">
        <v>27</v>
      </c>
      <c r="U141" t="s">
        <v>28</v>
      </c>
      <c r="V141" s="3">
        <f>retail_dataset_additional_200_rows[[#This Row],[Revenue_Week]]*retail_dataset_additional_200_rows[[#This Row],[MarginPct]]</f>
        <v>24647.84</v>
      </c>
    </row>
    <row r="142" spans="1:22" x14ac:dyDescent="0.25">
      <c r="A142" t="s">
        <v>229</v>
      </c>
      <c r="B142" t="s">
        <v>56</v>
      </c>
      <c r="C142" t="s">
        <v>126</v>
      </c>
      <c r="D142" s="1">
        <v>46357</v>
      </c>
      <c r="E142">
        <v>2025</v>
      </c>
      <c r="F142" t="s">
        <v>32</v>
      </c>
      <c r="G142" s="3">
        <v>65</v>
      </c>
      <c r="H142" s="3">
        <v>65</v>
      </c>
      <c r="I142" s="2">
        <v>0</v>
      </c>
      <c r="J142" t="s">
        <v>33</v>
      </c>
      <c r="K142" t="s">
        <v>34</v>
      </c>
      <c r="L142" s="1">
        <v>46057</v>
      </c>
      <c r="M142">
        <v>577</v>
      </c>
      <c r="N142" s="3">
        <v>37505</v>
      </c>
      <c r="O142" s="3">
        <v>36.409999999999997</v>
      </c>
      <c r="P142" s="2">
        <v>0.43980000000000002</v>
      </c>
      <c r="Q142">
        <v>1295</v>
      </c>
      <c r="R142">
        <v>2.2400000000000002</v>
      </c>
      <c r="S142" s="2">
        <v>0.30819999999999997</v>
      </c>
      <c r="T142" t="s">
        <v>39</v>
      </c>
      <c r="U142" t="s">
        <v>35</v>
      </c>
      <c r="V142" s="3">
        <f>retail_dataset_additional_200_rows[[#This Row],[Revenue_Week]]*retail_dataset_additional_200_rows[[#This Row],[MarginPct]]</f>
        <v>16494.699000000001</v>
      </c>
    </row>
    <row r="143" spans="1:22" x14ac:dyDescent="0.25">
      <c r="A143" t="s">
        <v>230</v>
      </c>
      <c r="B143" t="s">
        <v>30</v>
      </c>
      <c r="C143" t="s">
        <v>31</v>
      </c>
      <c r="D143" s="1">
        <v>46357</v>
      </c>
      <c r="E143">
        <v>2024</v>
      </c>
      <c r="F143" t="s">
        <v>24</v>
      </c>
      <c r="G143" s="3">
        <v>40</v>
      </c>
      <c r="H143" s="3">
        <v>32</v>
      </c>
      <c r="I143" s="2">
        <v>0.2</v>
      </c>
      <c r="J143" t="s">
        <v>25</v>
      </c>
      <c r="K143" t="s">
        <v>45</v>
      </c>
      <c r="L143" s="1">
        <v>46060</v>
      </c>
      <c r="M143">
        <v>213</v>
      </c>
      <c r="N143" s="3">
        <v>6816</v>
      </c>
      <c r="O143" s="3">
        <v>16.68</v>
      </c>
      <c r="P143" s="2">
        <v>0.4788</v>
      </c>
      <c r="Q143">
        <v>1967</v>
      </c>
      <c r="R143">
        <v>9.23</v>
      </c>
      <c r="S143" s="2">
        <v>9.7699999999999995E-2</v>
      </c>
      <c r="T143" t="s">
        <v>52</v>
      </c>
      <c r="U143" t="s">
        <v>67</v>
      </c>
      <c r="V143" s="3">
        <f>retail_dataset_additional_200_rows[[#This Row],[Revenue_Week]]*retail_dataset_additional_200_rows[[#This Row],[MarginPct]]</f>
        <v>3263.5007999999998</v>
      </c>
    </row>
    <row r="144" spans="1:22" x14ac:dyDescent="0.25">
      <c r="A144" t="s">
        <v>231</v>
      </c>
      <c r="B144" t="s">
        <v>50</v>
      </c>
      <c r="C144" t="s">
        <v>51</v>
      </c>
      <c r="D144" s="1">
        <v>46082</v>
      </c>
      <c r="E144">
        <v>2023</v>
      </c>
      <c r="F144" t="s">
        <v>32</v>
      </c>
      <c r="G144" s="3">
        <v>120</v>
      </c>
      <c r="H144" s="3">
        <v>120</v>
      </c>
      <c r="I144" s="2">
        <v>0</v>
      </c>
      <c r="J144" t="s">
        <v>33</v>
      </c>
      <c r="K144" t="s">
        <v>34</v>
      </c>
      <c r="L144" s="1">
        <v>46057</v>
      </c>
      <c r="M144">
        <v>322</v>
      </c>
      <c r="N144" s="3">
        <v>38640</v>
      </c>
      <c r="O144" s="3">
        <v>67.13</v>
      </c>
      <c r="P144" s="2">
        <v>0.44059999999999999</v>
      </c>
      <c r="Q144">
        <v>734</v>
      </c>
      <c r="R144">
        <v>2.2799999999999998</v>
      </c>
      <c r="S144" s="2">
        <v>0.3049</v>
      </c>
      <c r="T144" t="s">
        <v>52</v>
      </c>
      <c r="U144" t="s">
        <v>40</v>
      </c>
      <c r="V144" s="3">
        <f>retail_dataset_additional_200_rows[[#This Row],[Revenue_Week]]*retail_dataset_additional_200_rows[[#This Row],[MarginPct]]</f>
        <v>17024.784</v>
      </c>
    </row>
    <row r="145" spans="1:22" x14ac:dyDescent="0.25">
      <c r="A145" t="s">
        <v>232</v>
      </c>
      <c r="B145" t="s">
        <v>62</v>
      </c>
      <c r="C145" t="s">
        <v>63</v>
      </c>
      <c r="D145" s="1">
        <v>46143</v>
      </c>
      <c r="E145">
        <v>2025</v>
      </c>
      <c r="F145" t="s">
        <v>32</v>
      </c>
      <c r="G145" s="3">
        <v>65</v>
      </c>
      <c r="H145" s="3">
        <v>65</v>
      </c>
      <c r="I145" s="2">
        <v>0</v>
      </c>
      <c r="J145" t="s">
        <v>33</v>
      </c>
      <c r="K145" t="s">
        <v>34</v>
      </c>
      <c r="L145" s="1">
        <v>46065</v>
      </c>
      <c r="M145">
        <v>105</v>
      </c>
      <c r="N145" s="3">
        <v>6825</v>
      </c>
      <c r="O145" s="3">
        <v>33.06</v>
      </c>
      <c r="P145" s="2">
        <v>0.4914</v>
      </c>
      <c r="Q145">
        <v>1513</v>
      </c>
      <c r="R145">
        <v>14.41</v>
      </c>
      <c r="S145" s="2">
        <v>6.4899999999999999E-2</v>
      </c>
      <c r="T145" t="s">
        <v>27</v>
      </c>
      <c r="U145" t="s">
        <v>28</v>
      </c>
      <c r="V145" s="3">
        <f>retail_dataset_additional_200_rows[[#This Row],[Revenue_Week]]*retail_dataset_additional_200_rows[[#This Row],[MarginPct]]</f>
        <v>3353.8049999999998</v>
      </c>
    </row>
    <row r="146" spans="1:22" x14ac:dyDescent="0.25">
      <c r="A146" t="s">
        <v>233</v>
      </c>
      <c r="B146" t="s">
        <v>59</v>
      </c>
      <c r="C146" t="s">
        <v>60</v>
      </c>
      <c r="D146" s="1">
        <v>46235</v>
      </c>
      <c r="E146">
        <v>2025</v>
      </c>
      <c r="F146" t="s">
        <v>24</v>
      </c>
      <c r="G146" s="3">
        <v>40</v>
      </c>
      <c r="H146" s="3">
        <v>32</v>
      </c>
      <c r="I146" s="2">
        <v>0.2</v>
      </c>
      <c r="J146" t="s">
        <v>25</v>
      </c>
      <c r="K146" t="s">
        <v>45</v>
      </c>
      <c r="L146" s="1">
        <v>46058</v>
      </c>
      <c r="M146">
        <v>547</v>
      </c>
      <c r="N146" s="3">
        <v>17504</v>
      </c>
      <c r="O146" s="3">
        <v>20.71</v>
      </c>
      <c r="P146" s="2">
        <v>0.3528</v>
      </c>
      <c r="Q146">
        <v>1459</v>
      </c>
      <c r="R146">
        <v>2.67</v>
      </c>
      <c r="S146" s="2">
        <v>0.2727</v>
      </c>
      <c r="T146" t="s">
        <v>27</v>
      </c>
      <c r="U146" t="s">
        <v>67</v>
      </c>
      <c r="V146" s="3">
        <f>retail_dataset_additional_200_rows[[#This Row],[Revenue_Week]]*retail_dataset_additional_200_rows[[#This Row],[MarginPct]]</f>
        <v>6175.4112000000005</v>
      </c>
    </row>
    <row r="147" spans="1:22" x14ac:dyDescent="0.25">
      <c r="A147" t="s">
        <v>234</v>
      </c>
      <c r="B147" t="s">
        <v>47</v>
      </c>
      <c r="C147" t="s">
        <v>96</v>
      </c>
      <c r="D147" s="1">
        <v>46174</v>
      </c>
      <c r="E147">
        <v>2023</v>
      </c>
      <c r="F147" t="s">
        <v>24</v>
      </c>
      <c r="G147" s="3">
        <v>120</v>
      </c>
      <c r="H147" s="3">
        <v>96</v>
      </c>
      <c r="I147" s="2">
        <v>0.2</v>
      </c>
      <c r="J147" t="s">
        <v>25</v>
      </c>
      <c r="K147" t="s">
        <v>26</v>
      </c>
      <c r="L147" s="1">
        <v>46057</v>
      </c>
      <c r="M147">
        <v>144</v>
      </c>
      <c r="N147" s="3">
        <v>13824</v>
      </c>
      <c r="O147" s="3">
        <v>53.4</v>
      </c>
      <c r="P147" s="2">
        <v>0.44379999999999997</v>
      </c>
      <c r="Q147">
        <v>557</v>
      </c>
      <c r="R147">
        <v>3.87</v>
      </c>
      <c r="S147" s="2">
        <v>0.2054</v>
      </c>
      <c r="T147" t="s">
        <v>27</v>
      </c>
      <c r="U147" t="s">
        <v>67</v>
      </c>
      <c r="V147" s="3">
        <f>retail_dataset_additional_200_rows[[#This Row],[Revenue_Week]]*retail_dataset_additional_200_rows[[#This Row],[MarginPct]]</f>
        <v>6135.0911999999998</v>
      </c>
    </row>
    <row r="148" spans="1:22" x14ac:dyDescent="0.25">
      <c r="A148" t="s">
        <v>235</v>
      </c>
      <c r="B148" t="s">
        <v>65</v>
      </c>
      <c r="C148" t="s">
        <v>182</v>
      </c>
      <c r="D148" s="1">
        <v>46023</v>
      </c>
      <c r="E148">
        <v>2025</v>
      </c>
      <c r="F148" t="s">
        <v>32</v>
      </c>
      <c r="G148" s="3">
        <v>55</v>
      </c>
      <c r="H148" s="3">
        <v>55</v>
      </c>
      <c r="I148" s="2">
        <v>0</v>
      </c>
      <c r="J148" t="s">
        <v>33</v>
      </c>
      <c r="K148" t="s">
        <v>34</v>
      </c>
      <c r="L148" s="1">
        <v>46065</v>
      </c>
      <c r="M148">
        <v>758</v>
      </c>
      <c r="N148" s="3">
        <v>41690</v>
      </c>
      <c r="O148" s="3">
        <v>20.22</v>
      </c>
      <c r="P148" s="2">
        <v>0.63239999999999996</v>
      </c>
      <c r="Q148">
        <v>1413</v>
      </c>
      <c r="R148">
        <v>1.86</v>
      </c>
      <c r="S148" s="2">
        <v>0.34910000000000002</v>
      </c>
      <c r="T148" t="s">
        <v>39</v>
      </c>
      <c r="U148" t="s">
        <v>40</v>
      </c>
      <c r="V148" s="3">
        <f>retail_dataset_additional_200_rows[[#This Row],[Revenue_Week]]*retail_dataset_additional_200_rows[[#This Row],[MarginPct]]</f>
        <v>26364.755999999998</v>
      </c>
    </row>
    <row r="149" spans="1:22" x14ac:dyDescent="0.25">
      <c r="A149" t="s">
        <v>236</v>
      </c>
      <c r="B149" t="s">
        <v>135</v>
      </c>
      <c r="C149" t="s">
        <v>237</v>
      </c>
      <c r="D149" s="1">
        <v>46023</v>
      </c>
      <c r="E149">
        <v>2024</v>
      </c>
      <c r="F149" t="s">
        <v>24</v>
      </c>
      <c r="G149" s="3">
        <v>60</v>
      </c>
      <c r="H149" s="3">
        <v>48</v>
      </c>
      <c r="I149" s="2">
        <v>0.2</v>
      </c>
      <c r="J149" t="s">
        <v>25</v>
      </c>
      <c r="K149" t="s">
        <v>26</v>
      </c>
      <c r="L149" s="1">
        <v>46067</v>
      </c>
      <c r="M149">
        <v>118</v>
      </c>
      <c r="N149" s="3">
        <v>5664</v>
      </c>
      <c r="O149" s="3">
        <v>24.23</v>
      </c>
      <c r="P149" s="2">
        <v>0.49519999999999997</v>
      </c>
      <c r="Q149">
        <v>846</v>
      </c>
      <c r="R149">
        <v>7.17</v>
      </c>
      <c r="S149" s="2">
        <v>0.12239999999999999</v>
      </c>
      <c r="T149" t="s">
        <v>39</v>
      </c>
      <c r="U149" t="s">
        <v>28</v>
      </c>
      <c r="V149" s="3">
        <f>retail_dataset_additional_200_rows[[#This Row],[Revenue_Week]]*retail_dataset_additional_200_rows[[#This Row],[MarginPct]]</f>
        <v>2804.8127999999997</v>
      </c>
    </row>
    <row r="150" spans="1:22" x14ac:dyDescent="0.25">
      <c r="A150" t="s">
        <v>238</v>
      </c>
      <c r="B150" t="s">
        <v>62</v>
      </c>
      <c r="C150" t="s">
        <v>85</v>
      </c>
      <c r="D150" s="1">
        <v>46235</v>
      </c>
      <c r="E150">
        <v>2024</v>
      </c>
      <c r="F150" t="s">
        <v>32</v>
      </c>
      <c r="G150" s="3">
        <v>35</v>
      </c>
      <c r="H150" s="3">
        <v>35</v>
      </c>
      <c r="I150" s="2">
        <v>0</v>
      </c>
      <c r="J150" t="s">
        <v>33</v>
      </c>
      <c r="K150" t="s">
        <v>34</v>
      </c>
      <c r="L150" s="1">
        <v>46062</v>
      </c>
      <c r="M150">
        <v>673</v>
      </c>
      <c r="N150" s="3">
        <v>23555</v>
      </c>
      <c r="O150" s="3">
        <v>19.399999999999999</v>
      </c>
      <c r="P150" s="2">
        <v>0.44569999999999999</v>
      </c>
      <c r="Q150">
        <v>784</v>
      </c>
      <c r="R150">
        <v>1.1599999999999999</v>
      </c>
      <c r="S150" s="2">
        <v>0.46189999999999998</v>
      </c>
      <c r="T150" t="s">
        <v>52</v>
      </c>
      <c r="U150" t="s">
        <v>67</v>
      </c>
      <c r="V150" s="3">
        <f>retail_dataset_additional_200_rows[[#This Row],[Revenue_Week]]*retail_dataset_additional_200_rows[[#This Row],[MarginPct]]</f>
        <v>10498.4635</v>
      </c>
    </row>
    <row r="151" spans="1:22" x14ac:dyDescent="0.25">
      <c r="A151" t="s">
        <v>239</v>
      </c>
      <c r="B151" t="s">
        <v>98</v>
      </c>
      <c r="C151" t="s">
        <v>99</v>
      </c>
      <c r="D151" s="1">
        <v>46113</v>
      </c>
      <c r="E151">
        <v>2024</v>
      </c>
      <c r="F151" t="s">
        <v>32</v>
      </c>
      <c r="G151" s="3">
        <v>30</v>
      </c>
      <c r="H151" s="3">
        <v>30</v>
      </c>
      <c r="I151" s="2">
        <v>0</v>
      </c>
      <c r="J151" t="s">
        <v>33</v>
      </c>
      <c r="K151" t="s">
        <v>34</v>
      </c>
      <c r="L151" s="1">
        <v>46055</v>
      </c>
      <c r="M151">
        <v>570</v>
      </c>
      <c r="N151" s="3">
        <v>17100</v>
      </c>
      <c r="O151" s="3">
        <v>14.19</v>
      </c>
      <c r="P151" s="2">
        <v>0.52700000000000002</v>
      </c>
      <c r="Q151">
        <v>1101</v>
      </c>
      <c r="R151">
        <v>1.93</v>
      </c>
      <c r="S151" s="2">
        <v>0.34110000000000001</v>
      </c>
      <c r="T151" t="s">
        <v>52</v>
      </c>
      <c r="U151" t="s">
        <v>35</v>
      </c>
      <c r="V151" s="3">
        <f>retail_dataset_additional_200_rows[[#This Row],[Revenue_Week]]*retail_dataset_additional_200_rows[[#This Row],[MarginPct]]</f>
        <v>9011.7000000000007</v>
      </c>
    </row>
    <row r="152" spans="1:22" x14ac:dyDescent="0.25">
      <c r="A152" t="s">
        <v>240</v>
      </c>
      <c r="B152" t="s">
        <v>59</v>
      </c>
      <c r="C152" t="s">
        <v>72</v>
      </c>
      <c r="D152" s="1">
        <v>46174</v>
      </c>
      <c r="E152">
        <v>2023</v>
      </c>
      <c r="F152" t="s">
        <v>32</v>
      </c>
      <c r="G152" s="3">
        <v>30</v>
      </c>
      <c r="H152" s="3">
        <v>30</v>
      </c>
      <c r="I152" s="2">
        <v>0</v>
      </c>
      <c r="J152" t="s">
        <v>33</v>
      </c>
      <c r="K152" t="s">
        <v>34</v>
      </c>
      <c r="L152" s="1">
        <v>46067</v>
      </c>
      <c r="M152">
        <v>589</v>
      </c>
      <c r="N152" s="3">
        <v>17670</v>
      </c>
      <c r="O152" s="3">
        <v>12.6</v>
      </c>
      <c r="P152" s="2">
        <v>0.57999999999999996</v>
      </c>
      <c r="Q152">
        <v>768</v>
      </c>
      <c r="R152">
        <v>1.3</v>
      </c>
      <c r="S152" s="2">
        <v>0.434</v>
      </c>
      <c r="T152" t="s">
        <v>52</v>
      </c>
      <c r="U152" t="s">
        <v>28</v>
      </c>
      <c r="V152" s="3">
        <f>retail_dataset_additional_200_rows[[#This Row],[Revenue_Week]]*retail_dataset_additional_200_rows[[#This Row],[MarginPct]]</f>
        <v>10248.599999999999</v>
      </c>
    </row>
    <row r="153" spans="1:22" x14ac:dyDescent="0.25">
      <c r="A153" t="s">
        <v>241</v>
      </c>
      <c r="B153" t="s">
        <v>135</v>
      </c>
      <c r="C153" t="s">
        <v>50</v>
      </c>
      <c r="D153" s="1">
        <v>46357</v>
      </c>
      <c r="E153">
        <v>2025</v>
      </c>
      <c r="F153" t="s">
        <v>24</v>
      </c>
      <c r="G153" s="3">
        <v>35</v>
      </c>
      <c r="H153" s="3">
        <v>28</v>
      </c>
      <c r="I153" s="2">
        <v>0.2</v>
      </c>
      <c r="J153" t="s">
        <v>25</v>
      </c>
      <c r="K153" t="s">
        <v>45</v>
      </c>
      <c r="L153" s="1">
        <v>46067</v>
      </c>
      <c r="M153">
        <v>717</v>
      </c>
      <c r="N153" s="3">
        <v>20076</v>
      </c>
      <c r="O153" s="3">
        <v>19.14</v>
      </c>
      <c r="P153" s="2">
        <v>0.31640000000000001</v>
      </c>
      <c r="Q153">
        <v>1988</v>
      </c>
      <c r="R153">
        <v>2.77</v>
      </c>
      <c r="S153" s="2">
        <v>0.2651</v>
      </c>
      <c r="T153" t="s">
        <v>27</v>
      </c>
      <c r="U153" t="s">
        <v>67</v>
      </c>
      <c r="V153" s="3">
        <f>retail_dataset_additional_200_rows[[#This Row],[Revenue_Week]]*retail_dataset_additional_200_rows[[#This Row],[MarginPct]]</f>
        <v>6352.0464000000002</v>
      </c>
    </row>
    <row r="154" spans="1:22" x14ac:dyDescent="0.25">
      <c r="A154" t="s">
        <v>242</v>
      </c>
      <c r="B154" t="s">
        <v>50</v>
      </c>
      <c r="C154" t="s">
        <v>83</v>
      </c>
      <c r="D154" s="1">
        <v>46174</v>
      </c>
      <c r="E154">
        <v>2025</v>
      </c>
      <c r="F154" t="s">
        <v>32</v>
      </c>
      <c r="G154" s="3">
        <v>25</v>
      </c>
      <c r="H154" s="3">
        <v>25</v>
      </c>
      <c r="I154" s="2">
        <v>0</v>
      </c>
      <c r="J154" t="s">
        <v>33</v>
      </c>
      <c r="K154" t="s">
        <v>34</v>
      </c>
      <c r="L154" s="1">
        <v>46055</v>
      </c>
      <c r="M154">
        <v>203</v>
      </c>
      <c r="N154" s="3">
        <v>5075</v>
      </c>
      <c r="O154" s="3">
        <v>14.8</v>
      </c>
      <c r="P154" s="2">
        <v>0.40799999999999997</v>
      </c>
      <c r="Q154">
        <v>1378</v>
      </c>
      <c r="R154">
        <v>6.79</v>
      </c>
      <c r="S154" s="2">
        <v>0.12839999999999999</v>
      </c>
      <c r="T154" t="s">
        <v>39</v>
      </c>
      <c r="U154" t="s">
        <v>28</v>
      </c>
      <c r="V154" s="3">
        <f>retail_dataset_additional_200_rows[[#This Row],[Revenue_Week]]*retail_dataset_additional_200_rows[[#This Row],[MarginPct]]</f>
        <v>2070.6</v>
      </c>
    </row>
    <row r="155" spans="1:22" x14ac:dyDescent="0.25">
      <c r="A155" t="s">
        <v>243</v>
      </c>
      <c r="B155" t="s">
        <v>22</v>
      </c>
      <c r="C155" t="s">
        <v>111</v>
      </c>
      <c r="D155" s="1">
        <v>46113</v>
      </c>
      <c r="E155">
        <v>2025</v>
      </c>
      <c r="F155" t="s">
        <v>32</v>
      </c>
      <c r="G155" s="3">
        <v>65</v>
      </c>
      <c r="H155" s="3">
        <v>65</v>
      </c>
      <c r="I155" s="2">
        <v>0</v>
      </c>
      <c r="J155" t="s">
        <v>33</v>
      </c>
      <c r="K155" t="s">
        <v>34</v>
      </c>
      <c r="L155" s="1">
        <v>46063</v>
      </c>
      <c r="M155">
        <v>400</v>
      </c>
      <c r="N155" s="3">
        <v>26000</v>
      </c>
      <c r="O155" s="3">
        <v>26.98</v>
      </c>
      <c r="P155" s="2">
        <v>0.58489999999999998</v>
      </c>
      <c r="Q155">
        <v>1293</v>
      </c>
      <c r="R155">
        <v>3.23</v>
      </c>
      <c r="S155" s="2">
        <v>0.23630000000000001</v>
      </c>
      <c r="T155" t="s">
        <v>52</v>
      </c>
      <c r="U155" t="s">
        <v>35</v>
      </c>
      <c r="V155" s="3">
        <f>retail_dataset_additional_200_rows[[#This Row],[Revenue_Week]]*retail_dataset_additional_200_rows[[#This Row],[MarginPct]]</f>
        <v>15207.4</v>
      </c>
    </row>
    <row r="156" spans="1:22" x14ac:dyDescent="0.25">
      <c r="A156" t="s">
        <v>244</v>
      </c>
      <c r="B156" t="s">
        <v>43</v>
      </c>
      <c r="C156" t="s">
        <v>107</v>
      </c>
      <c r="D156" s="1">
        <v>46082</v>
      </c>
      <c r="E156">
        <v>2023</v>
      </c>
      <c r="F156" t="s">
        <v>32</v>
      </c>
      <c r="G156" s="3">
        <v>75</v>
      </c>
      <c r="H156" s="3">
        <v>75</v>
      </c>
      <c r="I156" s="2">
        <v>0</v>
      </c>
      <c r="J156" t="s">
        <v>33</v>
      </c>
      <c r="K156" t="s">
        <v>34</v>
      </c>
      <c r="L156" s="1">
        <v>46063</v>
      </c>
      <c r="M156">
        <v>322</v>
      </c>
      <c r="N156" s="3">
        <v>24150</v>
      </c>
      <c r="O156" s="3">
        <v>27</v>
      </c>
      <c r="P156" s="2">
        <v>0.64</v>
      </c>
      <c r="Q156">
        <v>1867</v>
      </c>
      <c r="R156">
        <v>5.8</v>
      </c>
      <c r="S156" s="2">
        <v>0.14710000000000001</v>
      </c>
      <c r="T156" t="s">
        <v>39</v>
      </c>
      <c r="U156" t="s">
        <v>40</v>
      </c>
      <c r="V156" s="3">
        <f>retail_dataset_additional_200_rows[[#This Row],[Revenue_Week]]*retail_dataset_additional_200_rows[[#This Row],[MarginPct]]</f>
        <v>15456</v>
      </c>
    </row>
    <row r="157" spans="1:22" x14ac:dyDescent="0.25">
      <c r="A157" t="s">
        <v>245</v>
      </c>
      <c r="B157" t="s">
        <v>195</v>
      </c>
      <c r="C157" t="s">
        <v>196</v>
      </c>
      <c r="D157" s="1">
        <v>46023</v>
      </c>
      <c r="E157">
        <v>2024</v>
      </c>
      <c r="F157" t="s">
        <v>24</v>
      </c>
      <c r="G157" s="3">
        <v>25</v>
      </c>
      <c r="H157" s="3">
        <v>20</v>
      </c>
      <c r="I157" s="2">
        <v>0.2</v>
      </c>
      <c r="J157" t="s">
        <v>25</v>
      </c>
      <c r="K157" t="s">
        <v>26</v>
      </c>
      <c r="L157" s="1">
        <v>46064</v>
      </c>
      <c r="M157">
        <v>446</v>
      </c>
      <c r="N157" s="3">
        <v>8920</v>
      </c>
      <c r="O157" s="3">
        <v>9.66</v>
      </c>
      <c r="P157" s="2">
        <v>0.51700000000000002</v>
      </c>
      <c r="Q157">
        <v>858</v>
      </c>
      <c r="R157">
        <v>1.92</v>
      </c>
      <c r="S157" s="2">
        <v>0.34200000000000003</v>
      </c>
      <c r="T157" t="s">
        <v>52</v>
      </c>
      <c r="U157" t="s">
        <v>67</v>
      </c>
      <c r="V157" s="3">
        <f>retail_dataset_additional_200_rows[[#This Row],[Revenue_Week]]*retail_dataset_additional_200_rows[[#This Row],[MarginPct]]</f>
        <v>4611.6400000000003</v>
      </c>
    </row>
    <row r="158" spans="1:22" x14ac:dyDescent="0.25">
      <c r="A158" t="s">
        <v>246</v>
      </c>
      <c r="B158" t="s">
        <v>135</v>
      </c>
      <c r="C158" t="s">
        <v>50</v>
      </c>
      <c r="D158" s="1">
        <v>46143</v>
      </c>
      <c r="E158">
        <v>2023</v>
      </c>
      <c r="F158" t="s">
        <v>24</v>
      </c>
      <c r="G158" s="3">
        <v>40</v>
      </c>
      <c r="H158" s="3">
        <v>32</v>
      </c>
      <c r="I158" s="2">
        <v>0.2</v>
      </c>
      <c r="J158" t="s">
        <v>25</v>
      </c>
      <c r="K158" t="s">
        <v>26</v>
      </c>
      <c r="L158" s="1">
        <v>46061</v>
      </c>
      <c r="M158">
        <v>755</v>
      </c>
      <c r="N158" s="3">
        <v>24160</v>
      </c>
      <c r="O158" s="3">
        <v>15.15</v>
      </c>
      <c r="P158" s="2">
        <v>0.52659999999999996</v>
      </c>
      <c r="Q158">
        <v>1224</v>
      </c>
      <c r="R158">
        <v>1.62</v>
      </c>
      <c r="S158" s="2">
        <v>0.38150000000000001</v>
      </c>
      <c r="T158" t="s">
        <v>39</v>
      </c>
      <c r="U158" t="s">
        <v>35</v>
      </c>
      <c r="V158" s="3">
        <f>retail_dataset_additional_200_rows[[#This Row],[Revenue_Week]]*retail_dataset_additional_200_rows[[#This Row],[MarginPct]]</f>
        <v>12722.655999999999</v>
      </c>
    </row>
    <row r="159" spans="1:22" x14ac:dyDescent="0.25">
      <c r="A159" t="s">
        <v>247</v>
      </c>
      <c r="B159" t="s">
        <v>59</v>
      </c>
      <c r="C159" t="s">
        <v>72</v>
      </c>
      <c r="D159" s="1">
        <v>46023</v>
      </c>
      <c r="E159">
        <v>2025</v>
      </c>
      <c r="F159" t="s">
        <v>32</v>
      </c>
      <c r="G159" s="3">
        <v>40</v>
      </c>
      <c r="H159" s="3">
        <v>40</v>
      </c>
      <c r="I159" s="2">
        <v>0</v>
      </c>
      <c r="J159" t="s">
        <v>33</v>
      </c>
      <c r="K159" t="s">
        <v>34</v>
      </c>
      <c r="L159" s="1">
        <v>46054</v>
      </c>
      <c r="M159">
        <v>244</v>
      </c>
      <c r="N159" s="3">
        <v>9760</v>
      </c>
      <c r="O159" s="3">
        <v>19.649999999999999</v>
      </c>
      <c r="P159" s="2">
        <v>0.50880000000000003</v>
      </c>
      <c r="Q159">
        <v>1976</v>
      </c>
      <c r="R159">
        <v>8.1</v>
      </c>
      <c r="S159" s="2">
        <v>0.1099</v>
      </c>
      <c r="T159" t="s">
        <v>52</v>
      </c>
      <c r="U159" t="s">
        <v>35</v>
      </c>
      <c r="V159" s="3">
        <f>retail_dataset_additional_200_rows[[#This Row],[Revenue_Week]]*retail_dataset_additional_200_rows[[#This Row],[MarginPct]]</f>
        <v>4965.8879999999999</v>
      </c>
    </row>
    <row r="160" spans="1:22" x14ac:dyDescent="0.25">
      <c r="A160" t="s">
        <v>248</v>
      </c>
      <c r="B160" t="s">
        <v>30</v>
      </c>
      <c r="C160" t="s">
        <v>128</v>
      </c>
      <c r="D160" s="1">
        <v>46357</v>
      </c>
      <c r="E160">
        <v>2023</v>
      </c>
      <c r="F160" t="s">
        <v>24</v>
      </c>
      <c r="G160" s="3">
        <v>55</v>
      </c>
      <c r="H160" s="3">
        <v>44</v>
      </c>
      <c r="I160" s="2">
        <v>0.2</v>
      </c>
      <c r="J160" t="s">
        <v>25</v>
      </c>
      <c r="K160" t="s">
        <v>45</v>
      </c>
      <c r="L160" s="1">
        <v>46058</v>
      </c>
      <c r="M160">
        <v>787</v>
      </c>
      <c r="N160" s="3">
        <v>34628</v>
      </c>
      <c r="O160" s="3">
        <v>29.78</v>
      </c>
      <c r="P160" s="2">
        <v>0.32319999999999999</v>
      </c>
      <c r="Q160">
        <v>338</v>
      </c>
      <c r="R160">
        <v>0.43</v>
      </c>
      <c r="S160" s="2">
        <v>0.6996</v>
      </c>
      <c r="T160" t="s">
        <v>52</v>
      </c>
      <c r="U160" t="s">
        <v>67</v>
      </c>
      <c r="V160" s="3">
        <f>retail_dataset_additional_200_rows[[#This Row],[Revenue_Week]]*retail_dataset_additional_200_rows[[#This Row],[MarginPct]]</f>
        <v>11191.7696</v>
      </c>
    </row>
    <row r="161" spans="1:22" x14ac:dyDescent="0.25">
      <c r="A161" t="s">
        <v>249</v>
      </c>
      <c r="B161" t="s">
        <v>167</v>
      </c>
      <c r="C161" t="s">
        <v>250</v>
      </c>
      <c r="D161" s="1">
        <v>46113</v>
      </c>
      <c r="E161">
        <v>2023</v>
      </c>
      <c r="F161" t="s">
        <v>24</v>
      </c>
      <c r="G161" s="3">
        <v>80</v>
      </c>
      <c r="H161" s="3">
        <v>64</v>
      </c>
      <c r="I161" s="2">
        <v>0.2</v>
      </c>
      <c r="J161" t="s">
        <v>25</v>
      </c>
      <c r="K161" t="s">
        <v>26</v>
      </c>
      <c r="L161" s="1">
        <v>46065</v>
      </c>
      <c r="M161">
        <v>543</v>
      </c>
      <c r="N161" s="3">
        <v>34752</v>
      </c>
      <c r="O161" s="3">
        <v>32.72</v>
      </c>
      <c r="P161" s="2">
        <v>0.48880000000000001</v>
      </c>
      <c r="Q161">
        <v>542</v>
      </c>
      <c r="R161">
        <v>1</v>
      </c>
      <c r="S161" s="2">
        <v>0.50049999999999994</v>
      </c>
      <c r="T161" t="s">
        <v>39</v>
      </c>
      <c r="U161" t="s">
        <v>28</v>
      </c>
      <c r="V161" s="3">
        <f>retail_dataset_additional_200_rows[[#This Row],[Revenue_Week]]*retail_dataset_additional_200_rows[[#This Row],[MarginPct]]</f>
        <v>16986.777600000001</v>
      </c>
    </row>
    <row r="162" spans="1:22" x14ac:dyDescent="0.25">
      <c r="A162" t="s">
        <v>251</v>
      </c>
      <c r="B162" t="s">
        <v>56</v>
      </c>
      <c r="C162" t="s">
        <v>126</v>
      </c>
      <c r="D162" s="1">
        <v>46174</v>
      </c>
      <c r="E162">
        <v>2024</v>
      </c>
      <c r="F162" t="s">
        <v>32</v>
      </c>
      <c r="G162" s="3">
        <v>70</v>
      </c>
      <c r="H162" s="3">
        <v>70</v>
      </c>
      <c r="I162" s="2">
        <v>0</v>
      </c>
      <c r="J162" t="s">
        <v>33</v>
      </c>
      <c r="K162" t="s">
        <v>34</v>
      </c>
      <c r="L162" s="1">
        <v>46055</v>
      </c>
      <c r="M162">
        <v>612</v>
      </c>
      <c r="N162" s="3">
        <v>42840</v>
      </c>
      <c r="O162" s="3">
        <v>35.17</v>
      </c>
      <c r="P162" s="2">
        <v>0.49759999999999999</v>
      </c>
      <c r="Q162">
        <v>1301</v>
      </c>
      <c r="R162">
        <v>2.13</v>
      </c>
      <c r="S162" s="2">
        <v>0.31990000000000002</v>
      </c>
      <c r="T162" t="s">
        <v>39</v>
      </c>
      <c r="U162" t="s">
        <v>40</v>
      </c>
      <c r="V162" s="3">
        <f>retail_dataset_additional_200_rows[[#This Row],[Revenue_Week]]*retail_dataset_additional_200_rows[[#This Row],[MarginPct]]</f>
        <v>21317.184000000001</v>
      </c>
    </row>
    <row r="163" spans="1:22" x14ac:dyDescent="0.25">
      <c r="A163" t="s">
        <v>252</v>
      </c>
      <c r="B163" t="s">
        <v>47</v>
      </c>
      <c r="C163" t="s">
        <v>105</v>
      </c>
      <c r="D163" s="1">
        <v>46266</v>
      </c>
      <c r="E163">
        <v>2024</v>
      </c>
      <c r="F163" t="s">
        <v>32</v>
      </c>
      <c r="G163" s="3">
        <v>35</v>
      </c>
      <c r="H163" s="3">
        <v>35</v>
      </c>
      <c r="I163" s="2">
        <v>0</v>
      </c>
      <c r="J163" t="s">
        <v>33</v>
      </c>
      <c r="K163" t="s">
        <v>34</v>
      </c>
      <c r="L163" s="1">
        <v>46063</v>
      </c>
      <c r="M163">
        <v>321</v>
      </c>
      <c r="N163" s="3">
        <v>11235</v>
      </c>
      <c r="O163" s="3">
        <v>20.5</v>
      </c>
      <c r="P163" s="2">
        <v>0.4143</v>
      </c>
      <c r="Q163">
        <v>993</v>
      </c>
      <c r="R163">
        <v>3.09</v>
      </c>
      <c r="S163" s="2">
        <v>0.24429999999999999</v>
      </c>
      <c r="T163" t="s">
        <v>52</v>
      </c>
      <c r="U163" t="s">
        <v>40</v>
      </c>
      <c r="V163" s="3">
        <f>retail_dataset_additional_200_rows[[#This Row],[Revenue_Week]]*retail_dataset_additional_200_rows[[#This Row],[MarginPct]]</f>
        <v>4654.6605</v>
      </c>
    </row>
    <row r="164" spans="1:22" x14ac:dyDescent="0.25">
      <c r="A164" t="s">
        <v>253</v>
      </c>
      <c r="B164" t="s">
        <v>42</v>
      </c>
      <c r="C164" t="s">
        <v>43</v>
      </c>
      <c r="D164" s="1">
        <v>46113</v>
      </c>
      <c r="E164">
        <v>2024</v>
      </c>
      <c r="F164" t="s">
        <v>32</v>
      </c>
      <c r="G164" s="3">
        <v>30</v>
      </c>
      <c r="H164" s="3">
        <v>30</v>
      </c>
      <c r="I164" s="2">
        <v>0</v>
      </c>
      <c r="J164" t="s">
        <v>33</v>
      </c>
      <c r="K164" t="s">
        <v>34</v>
      </c>
      <c r="L164" s="1">
        <v>46066</v>
      </c>
      <c r="M164">
        <v>576</v>
      </c>
      <c r="N164" s="3">
        <v>17280</v>
      </c>
      <c r="O164" s="3">
        <v>16.07</v>
      </c>
      <c r="P164" s="2">
        <v>0.46429999999999999</v>
      </c>
      <c r="Q164">
        <v>1829</v>
      </c>
      <c r="R164">
        <v>3.18</v>
      </c>
      <c r="S164" s="2">
        <v>0.23949999999999999</v>
      </c>
      <c r="T164" t="s">
        <v>39</v>
      </c>
      <c r="U164" t="s">
        <v>35</v>
      </c>
      <c r="V164" s="3">
        <f>retail_dataset_additional_200_rows[[#This Row],[Revenue_Week]]*retail_dataset_additional_200_rows[[#This Row],[MarginPct]]</f>
        <v>8023.1040000000003</v>
      </c>
    </row>
    <row r="165" spans="1:22" x14ac:dyDescent="0.25">
      <c r="A165" t="s">
        <v>254</v>
      </c>
      <c r="B165" t="s">
        <v>135</v>
      </c>
      <c r="C165" t="s">
        <v>31</v>
      </c>
      <c r="D165" s="1">
        <v>46113</v>
      </c>
      <c r="E165">
        <v>2024</v>
      </c>
      <c r="F165" t="s">
        <v>24</v>
      </c>
      <c r="G165" s="3">
        <v>30</v>
      </c>
      <c r="H165" s="3">
        <v>24</v>
      </c>
      <c r="I165" s="2">
        <v>0.2</v>
      </c>
      <c r="J165" t="s">
        <v>25</v>
      </c>
      <c r="K165" t="s">
        <v>26</v>
      </c>
      <c r="L165" s="1">
        <v>46058</v>
      </c>
      <c r="M165">
        <v>521</v>
      </c>
      <c r="N165" s="3">
        <v>12504</v>
      </c>
      <c r="O165" s="3">
        <v>16</v>
      </c>
      <c r="P165" s="2">
        <v>0.33329999999999999</v>
      </c>
      <c r="Q165">
        <v>1231</v>
      </c>
      <c r="R165">
        <v>2.36</v>
      </c>
      <c r="S165" s="2">
        <v>0.2974</v>
      </c>
      <c r="T165" t="s">
        <v>39</v>
      </c>
      <c r="U165" t="s">
        <v>40</v>
      </c>
      <c r="V165" s="3">
        <f>retail_dataset_additional_200_rows[[#This Row],[Revenue_Week]]*retail_dataset_additional_200_rows[[#This Row],[MarginPct]]</f>
        <v>4167.5832</v>
      </c>
    </row>
    <row r="166" spans="1:22" x14ac:dyDescent="0.25">
      <c r="A166" t="s">
        <v>255</v>
      </c>
      <c r="B166" t="s">
        <v>42</v>
      </c>
      <c r="C166" t="s">
        <v>60</v>
      </c>
      <c r="D166" s="1">
        <v>46174</v>
      </c>
      <c r="E166">
        <v>2025</v>
      </c>
      <c r="F166" t="s">
        <v>32</v>
      </c>
      <c r="G166" s="3">
        <v>50</v>
      </c>
      <c r="H166" s="3">
        <v>50</v>
      </c>
      <c r="I166" s="2">
        <v>0</v>
      </c>
      <c r="J166" t="s">
        <v>33</v>
      </c>
      <c r="K166" t="s">
        <v>34</v>
      </c>
      <c r="L166" s="1">
        <v>46061</v>
      </c>
      <c r="M166">
        <v>427</v>
      </c>
      <c r="N166" s="3">
        <v>21350</v>
      </c>
      <c r="O166" s="3">
        <v>21.74</v>
      </c>
      <c r="P166" s="2">
        <v>0.56520000000000004</v>
      </c>
      <c r="Q166">
        <v>1637</v>
      </c>
      <c r="R166">
        <v>3.83</v>
      </c>
      <c r="S166" s="2">
        <v>0.2069</v>
      </c>
      <c r="T166" t="s">
        <v>39</v>
      </c>
      <c r="U166" t="s">
        <v>67</v>
      </c>
      <c r="V166" s="3">
        <f>retail_dataset_additional_200_rows[[#This Row],[Revenue_Week]]*retail_dataset_additional_200_rows[[#This Row],[MarginPct]]</f>
        <v>12067.02</v>
      </c>
    </row>
    <row r="167" spans="1:22" x14ac:dyDescent="0.25">
      <c r="A167" t="s">
        <v>256</v>
      </c>
      <c r="B167" t="s">
        <v>47</v>
      </c>
      <c r="C167" t="s">
        <v>48</v>
      </c>
      <c r="D167" s="1">
        <v>46235</v>
      </c>
      <c r="E167">
        <v>2023</v>
      </c>
      <c r="F167" t="s">
        <v>24</v>
      </c>
      <c r="G167" s="3">
        <v>150</v>
      </c>
      <c r="H167" s="3">
        <v>120</v>
      </c>
      <c r="I167" s="2">
        <v>0.2</v>
      </c>
      <c r="J167" t="s">
        <v>25</v>
      </c>
      <c r="K167" t="s">
        <v>45</v>
      </c>
      <c r="L167" s="1">
        <v>46063</v>
      </c>
      <c r="M167">
        <v>742</v>
      </c>
      <c r="N167" s="3">
        <v>89040</v>
      </c>
      <c r="O167" s="3">
        <v>87.55</v>
      </c>
      <c r="P167" s="2">
        <v>0.27039999999999997</v>
      </c>
      <c r="Q167">
        <v>1774</v>
      </c>
      <c r="R167">
        <v>2.39</v>
      </c>
      <c r="S167" s="2">
        <v>0.2949</v>
      </c>
      <c r="T167" t="s">
        <v>39</v>
      </c>
      <c r="U167" t="s">
        <v>40</v>
      </c>
      <c r="V167" s="3">
        <f>retail_dataset_additional_200_rows[[#This Row],[Revenue_Week]]*retail_dataset_additional_200_rows[[#This Row],[MarginPct]]</f>
        <v>24076.415999999997</v>
      </c>
    </row>
    <row r="168" spans="1:22" x14ac:dyDescent="0.25">
      <c r="A168" t="s">
        <v>257</v>
      </c>
      <c r="B168" t="s">
        <v>59</v>
      </c>
      <c r="C168" t="s">
        <v>72</v>
      </c>
      <c r="D168" s="1">
        <v>46143</v>
      </c>
      <c r="E168">
        <v>2024</v>
      </c>
      <c r="F168" t="s">
        <v>32</v>
      </c>
      <c r="G168" s="3">
        <v>25</v>
      </c>
      <c r="H168" s="3">
        <v>25</v>
      </c>
      <c r="I168" s="2">
        <v>0</v>
      </c>
      <c r="J168" t="s">
        <v>33</v>
      </c>
      <c r="K168" t="s">
        <v>34</v>
      </c>
      <c r="L168" s="1">
        <v>46059</v>
      </c>
      <c r="M168">
        <v>155</v>
      </c>
      <c r="N168" s="3">
        <v>3875</v>
      </c>
      <c r="O168" s="3">
        <v>8.84</v>
      </c>
      <c r="P168" s="2">
        <v>0.64639999999999997</v>
      </c>
      <c r="Q168">
        <v>1976</v>
      </c>
      <c r="R168">
        <v>12.75</v>
      </c>
      <c r="S168" s="2">
        <v>7.2700000000000001E-2</v>
      </c>
      <c r="T168" t="s">
        <v>39</v>
      </c>
      <c r="U168" t="s">
        <v>40</v>
      </c>
      <c r="V168" s="3">
        <f>retail_dataset_additional_200_rows[[#This Row],[Revenue_Week]]*retail_dataset_additional_200_rows[[#This Row],[MarginPct]]</f>
        <v>2504.7999999999997</v>
      </c>
    </row>
    <row r="169" spans="1:22" x14ac:dyDescent="0.25">
      <c r="A169" t="s">
        <v>258</v>
      </c>
      <c r="B169" t="s">
        <v>135</v>
      </c>
      <c r="C169" t="s">
        <v>50</v>
      </c>
      <c r="D169" s="1">
        <v>46113</v>
      </c>
      <c r="E169">
        <v>2025</v>
      </c>
      <c r="F169" t="s">
        <v>24</v>
      </c>
      <c r="G169" s="3">
        <v>50</v>
      </c>
      <c r="H169" s="3">
        <v>40</v>
      </c>
      <c r="I169" s="2">
        <v>0.2</v>
      </c>
      <c r="J169" t="s">
        <v>25</v>
      </c>
      <c r="K169" t="s">
        <v>45</v>
      </c>
      <c r="L169" s="1">
        <v>46058</v>
      </c>
      <c r="M169">
        <v>754</v>
      </c>
      <c r="N169" s="3">
        <v>30160</v>
      </c>
      <c r="O169" s="3">
        <v>29.39</v>
      </c>
      <c r="P169" s="2">
        <v>0.26519999999999999</v>
      </c>
      <c r="Q169">
        <v>487</v>
      </c>
      <c r="R169">
        <v>0.65</v>
      </c>
      <c r="S169" s="2">
        <v>0.60760000000000003</v>
      </c>
      <c r="T169" t="s">
        <v>27</v>
      </c>
      <c r="U169" t="s">
        <v>67</v>
      </c>
      <c r="V169" s="3">
        <f>retail_dataset_additional_200_rows[[#This Row],[Revenue_Week]]*retail_dataset_additional_200_rows[[#This Row],[MarginPct]]</f>
        <v>7998.4319999999998</v>
      </c>
    </row>
    <row r="170" spans="1:22" x14ac:dyDescent="0.25">
      <c r="A170" t="s">
        <v>259</v>
      </c>
      <c r="B170" t="s">
        <v>50</v>
      </c>
      <c r="C170" t="s">
        <v>143</v>
      </c>
      <c r="D170" s="1">
        <v>46266</v>
      </c>
      <c r="E170">
        <v>2024</v>
      </c>
      <c r="F170" t="s">
        <v>24</v>
      </c>
      <c r="G170" s="3">
        <v>80</v>
      </c>
      <c r="H170" s="3">
        <v>64</v>
      </c>
      <c r="I170" s="2">
        <v>0.2</v>
      </c>
      <c r="J170" t="s">
        <v>25</v>
      </c>
      <c r="K170" t="s">
        <v>45</v>
      </c>
      <c r="L170" s="1">
        <v>46055</v>
      </c>
      <c r="M170">
        <v>313</v>
      </c>
      <c r="N170" s="3">
        <v>20032</v>
      </c>
      <c r="O170" s="3">
        <v>41.27</v>
      </c>
      <c r="P170" s="2">
        <v>0.35520000000000002</v>
      </c>
      <c r="Q170">
        <v>707</v>
      </c>
      <c r="R170">
        <v>2.2599999999999998</v>
      </c>
      <c r="S170" s="2">
        <v>0.30690000000000001</v>
      </c>
      <c r="T170" t="s">
        <v>27</v>
      </c>
      <c r="U170" t="s">
        <v>40</v>
      </c>
      <c r="V170" s="3">
        <f>retail_dataset_additional_200_rows[[#This Row],[Revenue_Week]]*retail_dataset_additional_200_rows[[#This Row],[MarginPct]]</f>
        <v>7115.3663999999999</v>
      </c>
    </row>
    <row r="171" spans="1:22" x14ac:dyDescent="0.25">
      <c r="A171" t="s">
        <v>260</v>
      </c>
      <c r="B171" t="s">
        <v>22</v>
      </c>
      <c r="C171" t="s">
        <v>23</v>
      </c>
      <c r="D171" s="1">
        <v>46357</v>
      </c>
      <c r="E171">
        <v>2024</v>
      </c>
      <c r="F171" t="s">
        <v>32</v>
      </c>
      <c r="G171" s="3">
        <v>50</v>
      </c>
      <c r="H171" s="3">
        <v>50</v>
      </c>
      <c r="I171" s="2">
        <v>0</v>
      </c>
      <c r="J171" t="s">
        <v>33</v>
      </c>
      <c r="K171" t="s">
        <v>34</v>
      </c>
      <c r="L171" s="1">
        <v>46056</v>
      </c>
      <c r="M171">
        <v>769</v>
      </c>
      <c r="N171" s="3">
        <v>38450</v>
      </c>
      <c r="O171" s="3">
        <v>20.75</v>
      </c>
      <c r="P171" s="2">
        <v>0.58499999999999996</v>
      </c>
      <c r="Q171">
        <v>1382</v>
      </c>
      <c r="R171">
        <v>1.8</v>
      </c>
      <c r="S171" s="2">
        <v>0.35749999999999998</v>
      </c>
      <c r="T171" t="s">
        <v>52</v>
      </c>
      <c r="U171" t="s">
        <v>28</v>
      </c>
      <c r="V171" s="3">
        <f>retail_dataset_additional_200_rows[[#This Row],[Revenue_Week]]*retail_dataset_additional_200_rows[[#This Row],[MarginPct]]</f>
        <v>22493.25</v>
      </c>
    </row>
    <row r="172" spans="1:22" x14ac:dyDescent="0.25">
      <c r="A172" t="s">
        <v>261</v>
      </c>
      <c r="B172" t="s">
        <v>59</v>
      </c>
      <c r="C172" t="s">
        <v>60</v>
      </c>
      <c r="D172" s="1">
        <v>46174</v>
      </c>
      <c r="E172">
        <v>2024</v>
      </c>
      <c r="F172" t="s">
        <v>24</v>
      </c>
      <c r="G172" s="3">
        <v>60</v>
      </c>
      <c r="H172" s="3">
        <v>48</v>
      </c>
      <c r="I172" s="2">
        <v>0.2</v>
      </c>
      <c r="J172" t="s">
        <v>25</v>
      </c>
      <c r="K172" t="s">
        <v>45</v>
      </c>
      <c r="L172" s="1">
        <v>46057</v>
      </c>
      <c r="M172">
        <v>595</v>
      </c>
      <c r="N172" s="3">
        <v>28560</v>
      </c>
      <c r="O172" s="3">
        <v>34.86</v>
      </c>
      <c r="P172" s="2">
        <v>0.2737</v>
      </c>
      <c r="Q172">
        <v>1868</v>
      </c>
      <c r="R172">
        <v>3.14</v>
      </c>
      <c r="S172" s="2">
        <v>0.24160000000000001</v>
      </c>
      <c r="T172" t="s">
        <v>27</v>
      </c>
      <c r="U172" t="s">
        <v>28</v>
      </c>
      <c r="V172" s="3">
        <f>retail_dataset_additional_200_rows[[#This Row],[Revenue_Week]]*retail_dataset_additional_200_rows[[#This Row],[MarginPct]]</f>
        <v>7816.8720000000003</v>
      </c>
    </row>
    <row r="173" spans="1:22" x14ac:dyDescent="0.25">
      <c r="A173" t="s">
        <v>262</v>
      </c>
      <c r="B173" t="s">
        <v>47</v>
      </c>
      <c r="C173" t="s">
        <v>105</v>
      </c>
      <c r="D173" s="1">
        <v>46113</v>
      </c>
      <c r="E173">
        <v>2024</v>
      </c>
      <c r="F173" t="s">
        <v>24</v>
      </c>
      <c r="G173" s="3">
        <v>150</v>
      </c>
      <c r="H173" s="3">
        <v>120</v>
      </c>
      <c r="I173" s="2">
        <v>0.2</v>
      </c>
      <c r="J173" t="s">
        <v>25</v>
      </c>
      <c r="K173" t="s">
        <v>26</v>
      </c>
      <c r="L173" s="1">
        <v>46065</v>
      </c>
      <c r="M173">
        <v>464</v>
      </c>
      <c r="N173" s="3">
        <v>55680</v>
      </c>
      <c r="O173" s="3">
        <v>70.73</v>
      </c>
      <c r="P173" s="2">
        <v>0.41060000000000002</v>
      </c>
      <c r="Q173">
        <v>552</v>
      </c>
      <c r="R173">
        <v>1.19</v>
      </c>
      <c r="S173" s="2">
        <v>0.45669999999999999</v>
      </c>
      <c r="T173" t="s">
        <v>27</v>
      </c>
      <c r="U173" t="s">
        <v>28</v>
      </c>
      <c r="V173" s="3">
        <f>retail_dataset_additional_200_rows[[#This Row],[Revenue_Week]]*retail_dataset_additional_200_rows[[#This Row],[MarginPct]]</f>
        <v>22862.208000000002</v>
      </c>
    </row>
    <row r="174" spans="1:22" x14ac:dyDescent="0.25">
      <c r="A174" t="s">
        <v>263</v>
      </c>
      <c r="B174" t="s">
        <v>98</v>
      </c>
      <c r="C174" t="s">
        <v>115</v>
      </c>
      <c r="D174" s="1">
        <v>46174</v>
      </c>
      <c r="E174">
        <v>2025</v>
      </c>
      <c r="F174" t="s">
        <v>32</v>
      </c>
      <c r="G174" s="3">
        <v>55</v>
      </c>
      <c r="H174" s="3">
        <v>55</v>
      </c>
      <c r="I174" s="2">
        <v>0</v>
      </c>
      <c r="J174" t="s">
        <v>33</v>
      </c>
      <c r="K174" t="s">
        <v>34</v>
      </c>
      <c r="L174" s="1">
        <v>46066</v>
      </c>
      <c r="M174">
        <v>447</v>
      </c>
      <c r="N174" s="3">
        <v>24585</v>
      </c>
      <c r="O174" s="3">
        <v>27.89</v>
      </c>
      <c r="P174" s="2">
        <v>0.4929</v>
      </c>
      <c r="Q174">
        <v>306</v>
      </c>
      <c r="R174">
        <v>0.68</v>
      </c>
      <c r="S174" s="2">
        <v>0.59360000000000002</v>
      </c>
      <c r="T174" t="s">
        <v>39</v>
      </c>
      <c r="U174" t="s">
        <v>40</v>
      </c>
      <c r="V174" s="3">
        <f>retail_dataset_additional_200_rows[[#This Row],[Revenue_Week]]*retail_dataset_additional_200_rows[[#This Row],[MarginPct]]</f>
        <v>12117.9465</v>
      </c>
    </row>
    <row r="175" spans="1:22" x14ac:dyDescent="0.25">
      <c r="A175" t="s">
        <v>264</v>
      </c>
      <c r="B175" t="s">
        <v>47</v>
      </c>
      <c r="C175" t="s">
        <v>96</v>
      </c>
      <c r="D175" s="1">
        <v>46143</v>
      </c>
      <c r="E175">
        <v>2024</v>
      </c>
      <c r="F175" t="s">
        <v>32</v>
      </c>
      <c r="G175" s="3">
        <v>70</v>
      </c>
      <c r="H175" s="3">
        <v>70</v>
      </c>
      <c r="I175" s="2">
        <v>0</v>
      </c>
      <c r="J175" t="s">
        <v>33</v>
      </c>
      <c r="K175" t="s">
        <v>34</v>
      </c>
      <c r="L175" s="1">
        <v>46067</v>
      </c>
      <c r="M175">
        <v>483</v>
      </c>
      <c r="N175" s="3">
        <v>33810</v>
      </c>
      <c r="O175" s="3">
        <v>38.04</v>
      </c>
      <c r="P175" s="2">
        <v>0.45660000000000001</v>
      </c>
      <c r="Q175">
        <v>348</v>
      </c>
      <c r="R175">
        <v>0.72</v>
      </c>
      <c r="S175" s="2">
        <v>0.58120000000000005</v>
      </c>
      <c r="T175" t="s">
        <v>27</v>
      </c>
      <c r="U175" t="s">
        <v>28</v>
      </c>
      <c r="V175" s="3">
        <f>retail_dataset_additional_200_rows[[#This Row],[Revenue_Week]]*retail_dataset_additional_200_rows[[#This Row],[MarginPct]]</f>
        <v>15437.646000000001</v>
      </c>
    </row>
    <row r="176" spans="1:22" x14ac:dyDescent="0.25">
      <c r="A176" t="s">
        <v>265</v>
      </c>
      <c r="B176" t="s">
        <v>69</v>
      </c>
      <c r="C176" t="s">
        <v>74</v>
      </c>
      <c r="D176" s="1">
        <v>46082</v>
      </c>
      <c r="E176">
        <v>2025</v>
      </c>
      <c r="F176" t="s">
        <v>24</v>
      </c>
      <c r="G176" s="3">
        <v>65</v>
      </c>
      <c r="H176" s="3">
        <v>52</v>
      </c>
      <c r="I176" s="2">
        <v>0.2</v>
      </c>
      <c r="J176" t="s">
        <v>25</v>
      </c>
      <c r="K176" t="s">
        <v>45</v>
      </c>
      <c r="L176" s="1">
        <v>46063</v>
      </c>
      <c r="M176">
        <v>621</v>
      </c>
      <c r="N176" s="3">
        <v>32292</v>
      </c>
      <c r="O176" s="3">
        <v>23.24</v>
      </c>
      <c r="P176" s="2">
        <v>0.55310000000000004</v>
      </c>
      <c r="Q176">
        <v>941</v>
      </c>
      <c r="R176">
        <v>1.52</v>
      </c>
      <c r="S176" s="2">
        <v>0.39760000000000001</v>
      </c>
      <c r="T176" t="s">
        <v>52</v>
      </c>
      <c r="U176" t="s">
        <v>67</v>
      </c>
      <c r="V176" s="3">
        <f>retail_dataset_additional_200_rows[[#This Row],[Revenue_Week]]*retail_dataset_additional_200_rows[[#This Row],[MarginPct]]</f>
        <v>17860.7052</v>
      </c>
    </row>
    <row r="177" spans="1:22" x14ac:dyDescent="0.25">
      <c r="A177" t="s">
        <v>266</v>
      </c>
      <c r="B177" t="s">
        <v>135</v>
      </c>
      <c r="C177" t="s">
        <v>31</v>
      </c>
      <c r="D177" s="1">
        <v>46113</v>
      </c>
      <c r="E177">
        <v>2024</v>
      </c>
      <c r="F177" t="s">
        <v>24</v>
      </c>
      <c r="G177" s="3">
        <v>50</v>
      </c>
      <c r="H177" s="3">
        <v>40</v>
      </c>
      <c r="I177" s="2">
        <v>0.2</v>
      </c>
      <c r="J177" t="s">
        <v>25</v>
      </c>
      <c r="K177" t="s">
        <v>45</v>
      </c>
      <c r="L177" s="1">
        <v>46062</v>
      </c>
      <c r="M177">
        <v>202</v>
      </c>
      <c r="N177" s="3">
        <v>8080</v>
      </c>
      <c r="O177" s="3">
        <v>28.73</v>
      </c>
      <c r="P177" s="2">
        <v>0.28179999999999999</v>
      </c>
      <c r="Q177">
        <v>1160</v>
      </c>
      <c r="R177">
        <v>5.74</v>
      </c>
      <c r="S177" s="2">
        <v>0.14829999999999999</v>
      </c>
      <c r="T177" t="s">
        <v>52</v>
      </c>
      <c r="U177" t="s">
        <v>35</v>
      </c>
      <c r="V177" s="3">
        <f>retail_dataset_additional_200_rows[[#This Row],[Revenue_Week]]*retail_dataset_additional_200_rows[[#This Row],[MarginPct]]</f>
        <v>2276.944</v>
      </c>
    </row>
    <row r="178" spans="1:22" x14ac:dyDescent="0.25">
      <c r="A178" t="s">
        <v>267</v>
      </c>
      <c r="B178" t="s">
        <v>65</v>
      </c>
      <c r="C178" t="s">
        <v>66</v>
      </c>
      <c r="D178" s="1">
        <v>46266</v>
      </c>
      <c r="E178">
        <v>2025</v>
      </c>
      <c r="F178" t="s">
        <v>32</v>
      </c>
      <c r="G178" s="3">
        <v>80</v>
      </c>
      <c r="H178" s="3">
        <v>80</v>
      </c>
      <c r="I178" s="2">
        <v>0</v>
      </c>
      <c r="J178" t="s">
        <v>33</v>
      </c>
      <c r="K178" t="s">
        <v>34</v>
      </c>
      <c r="L178" s="1">
        <v>46054</v>
      </c>
      <c r="M178">
        <v>172</v>
      </c>
      <c r="N178" s="3">
        <v>13760</v>
      </c>
      <c r="O178" s="3">
        <v>36.49</v>
      </c>
      <c r="P178" s="2">
        <v>0.54390000000000005</v>
      </c>
      <c r="Q178">
        <v>1072</v>
      </c>
      <c r="R178">
        <v>6.23</v>
      </c>
      <c r="S178" s="2">
        <v>0.13830000000000001</v>
      </c>
      <c r="T178" t="s">
        <v>39</v>
      </c>
      <c r="U178" t="s">
        <v>28</v>
      </c>
      <c r="V178" s="3">
        <f>retail_dataset_additional_200_rows[[#This Row],[Revenue_Week]]*retail_dataset_additional_200_rows[[#This Row],[MarginPct]]</f>
        <v>7484.0640000000003</v>
      </c>
    </row>
    <row r="179" spans="1:22" x14ac:dyDescent="0.25">
      <c r="A179" t="s">
        <v>268</v>
      </c>
      <c r="B179" t="s">
        <v>47</v>
      </c>
      <c r="C179" t="s">
        <v>105</v>
      </c>
      <c r="D179" s="1">
        <v>46143</v>
      </c>
      <c r="E179">
        <v>2025</v>
      </c>
      <c r="F179" t="s">
        <v>32</v>
      </c>
      <c r="G179" s="3">
        <v>150</v>
      </c>
      <c r="H179" s="3">
        <v>150</v>
      </c>
      <c r="I179" s="2">
        <v>0</v>
      </c>
      <c r="J179" t="s">
        <v>33</v>
      </c>
      <c r="K179" t="s">
        <v>34</v>
      </c>
      <c r="L179" s="1">
        <v>46066</v>
      </c>
      <c r="M179">
        <v>312</v>
      </c>
      <c r="N179" s="3">
        <v>46800</v>
      </c>
      <c r="O179" s="3">
        <v>84.33</v>
      </c>
      <c r="P179" s="2">
        <v>0.43780000000000002</v>
      </c>
      <c r="Q179">
        <v>1625</v>
      </c>
      <c r="R179">
        <v>5.21</v>
      </c>
      <c r="S179" s="2">
        <v>0.16109999999999999</v>
      </c>
      <c r="T179" t="s">
        <v>27</v>
      </c>
      <c r="U179" t="s">
        <v>40</v>
      </c>
      <c r="V179" s="3">
        <f>retail_dataset_additional_200_rows[[#This Row],[Revenue_Week]]*retail_dataset_additional_200_rows[[#This Row],[MarginPct]]</f>
        <v>20489.04</v>
      </c>
    </row>
    <row r="180" spans="1:22" x14ac:dyDescent="0.25">
      <c r="A180" t="s">
        <v>269</v>
      </c>
      <c r="B180" t="s">
        <v>62</v>
      </c>
      <c r="C180" t="s">
        <v>92</v>
      </c>
      <c r="D180" s="1">
        <v>46235</v>
      </c>
      <c r="E180">
        <v>2023</v>
      </c>
      <c r="F180" t="s">
        <v>32</v>
      </c>
      <c r="G180" s="3">
        <v>140</v>
      </c>
      <c r="H180" s="3">
        <v>140</v>
      </c>
      <c r="I180" s="2">
        <v>0</v>
      </c>
      <c r="J180" t="s">
        <v>33</v>
      </c>
      <c r="K180" t="s">
        <v>34</v>
      </c>
      <c r="L180" s="1">
        <v>46066</v>
      </c>
      <c r="M180">
        <v>282</v>
      </c>
      <c r="N180" s="3">
        <v>39480</v>
      </c>
      <c r="O180" s="3">
        <v>82.52</v>
      </c>
      <c r="P180" s="2">
        <v>0.41060000000000002</v>
      </c>
      <c r="Q180">
        <v>1059</v>
      </c>
      <c r="R180">
        <v>3.76</v>
      </c>
      <c r="S180" s="2">
        <v>0.21029999999999999</v>
      </c>
      <c r="T180" t="s">
        <v>39</v>
      </c>
      <c r="U180" t="s">
        <v>40</v>
      </c>
      <c r="V180" s="3">
        <f>retail_dataset_additional_200_rows[[#This Row],[Revenue_Week]]*retail_dataset_additional_200_rows[[#This Row],[MarginPct]]</f>
        <v>16210.488000000001</v>
      </c>
    </row>
    <row r="181" spans="1:22" x14ac:dyDescent="0.25">
      <c r="A181" t="s">
        <v>270</v>
      </c>
      <c r="B181" t="s">
        <v>195</v>
      </c>
      <c r="C181" t="s">
        <v>225</v>
      </c>
      <c r="D181" s="1">
        <v>46357</v>
      </c>
      <c r="E181">
        <v>2024</v>
      </c>
      <c r="F181" t="s">
        <v>32</v>
      </c>
      <c r="G181" s="3">
        <v>30</v>
      </c>
      <c r="H181" s="3">
        <v>30</v>
      </c>
      <c r="I181" s="2">
        <v>0</v>
      </c>
      <c r="J181" t="s">
        <v>33</v>
      </c>
      <c r="K181" t="s">
        <v>34</v>
      </c>
      <c r="L181" s="1">
        <v>46059</v>
      </c>
      <c r="M181">
        <v>93</v>
      </c>
      <c r="N181" s="3">
        <v>2790</v>
      </c>
      <c r="O181" s="3">
        <v>15.03</v>
      </c>
      <c r="P181" s="2">
        <v>0.499</v>
      </c>
      <c r="Q181">
        <v>366</v>
      </c>
      <c r="R181">
        <v>3.94</v>
      </c>
      <c r="S181" s="2">
        <v>0.2026</v>
      </c>
      <c r="T181" t="s">
        <v>39</v>
      </c>
      <c r="U181" t="s">
        <v>40</v>
      </c>
      <c r="V181" s="3">
        <f>retail_dataset_additional_200_rows[[#This Row],[Revenue_Week]]*retail_dataset_additional_200_rows[[#This Row],[MarginPct]]</f>
        <v>1392.21</v>
      </c>
    </row>
    <row r="182" spans="1:22" x14ac:dyDescent="0.25">
      <c r="A182" t="s">
        <v>271</v>
      </c>
      <c r="B182" t="s">
        <v>135</v>
      </c>
      <c r="C182" t="s">
        <v>136</v>
      </c>
      <c r="D182" s="1">
        <v>46082</v>
      </c>
      <c r="E182">
        <v>2024</v>
      </c>
      <c r="F182" t="s">
        <v>24</v>
      </c>
      <c r="G182" s="3">
        <v>70</v>
      </c>
      <c r="H182" s="3">
        <v>56</v>
      </c>
      <c r="I182" s="2">
        <v>0.2</v>
      </c>
      <c r="J182" t="s">
        <v>25</v>
      </c>
      <c r="K182" t="s">
        <v>26</v>
      </c>
      <c r="L182" s="1">
        <v>46061</v>
      </c>
      <c r="M182">
        <v>403</v>
      </c>
      <c r="N182" s="3">
        <v>22568</v>
      </c>
      <c r="O182" s="3">
        <v>36.01</v>
      </c>
      <c r="P182" s="2">
        <v>0.35699999999999998</v>
      </c>
      <c r="Q182">
        <v>1122</v>
      </c>
      <c r="R182">
        <v>2.78</v>
      </c>
      <c r="S182" s="2">
        <v>0.26429999999999998</v>
      </c>
      <c r="T182" t="s">
        <v>39</v>
      </c>
      <c r="U182" t="s">
        <v>28</v>
      </c>
      <c r="V182" s="3">
        <f>retail_dataset_additional_200_rows[[#This Row],[Revenue_Week]]*retail_dataset_additional_200_rows[[#This Row],[MarginPct]]</f>
        <v>8056.7759999999998</v>
      </c>
    </row>
    <row r="183" spans="1:22" x14ac:dyDescent="0.25">
      <c r="A183" t="s">
        <v>272</v>
      </c>
      <c r="B183" t="s">
        <v>30</v>
      </c>
      <c r="C183" t="s">
        <v>128</v>
      </c>
      <c r="D183" s="1">
        <v>46023</v>
      </c>
      <c r="E183">
        <v>2025</v>
      </c>
      <c r="F183" t="s">
        <v>24</v>
      </c>
      <c r="G183" s="3">
        <v>140</v>
      </c>
      <c r="H183" s="3">
        <v>112</v>
      </c>
      <c r="I183" s="2">
        <v>0.2</v>
      </c>
      <c r="J183" t="s">
        <v>25</v>
      </c>
      <c r="K183" t="s">
        <v>45</v>
      </c>
      <c r="L183" s="1">
        <v>46061</v>
      </c>
      <c r="M183">
        <v>548</v>
      </c>
      <c r="N183" s="3">
        <v>61376</v>
      </c>
      <c r="O183" s="3">
        <v>67.680000000000007</v>
      </c>
      <c r="P183" s="2">
        <v>0.3957</v>
      </c>
      <c r="Q183">
        <v>1535</v>
      </c>
      <c r="R183">
        <v>2.8</v>
      </c>
      <c r="S183" s="2">
        <v>0.2631</v>
      </c>
      <c r="T183" t="s">
        <v>39</v>
      </c>
      <c r="U183" t="s">
        <v>40</v>
      </c>
      <c r="V183" s="3">
        <f>retail_dataset_additional_200_rows[[#This Row],[Revenue_Week]]*retail_dataset_additional_200_rows[[#This Row],[MarginPct]]</f>
        <v>24286.483199999999</v>
      </c>
    </row>
    <row r="184" spans="1:22" x14ac:dyDescent="0.25">
      <c r="A184" t="s">
        <v>273</v>
      </c>
      <c r="B184" t="s">
        <v>42</v>
      </c>
      <c r="C184" t="s">
        <v>60</v>
      </c>
      <c r="D184" s="1">
        <v>46113</v>
      </c>
      <c r="E184">
        <v>2024</v>
      </c>
      <c r="F184" t="s">
        <v>24</v>
      </c>
      <c r="G184" s="3">
        <v>45</v>
      </c>
      <c r="H184" s="3">
        <v>36</v>
      </c>
      <c r="I184" s="2">
        <v>0.2</v>
      </c>
      <c r="J184" t="s">
        <v>25</v>
      </c>
      <c r="K184" t="s">
        <v>45</v>
      </c>
      <c r="L184" s="1">
        <v>46065</v>
      </c>
      <c r="M184">
        <v>295</v>
      </c>
      <c r="N184" s="3">
        <v>10620</v>
      </c>
      <c r="O184" s="3">
        <v>18.329999999999998</v>
      </c>
      <c r="P184" s="2">
        <v>0.49080000000000001</v>
      </c>
      <c r="Q184">
        <v>1847</v>
      </c>
      <c r="R184">
        <v>6.26</v>
      </c>
      <c r="S184" s="2">
        <v>0.13769999999999999</v>
      </c>
      <c r="T184" t="s">
        <v>39</v>
      </c>
      <c r="U184" t="s">
        <v>67</v>
      </c>
      <c r="V184" s="3">
        <f>retail_dataset_additional_200_rows[[#This Row],[Revenue_Week]]*retail_dataset_additional_200_rows[[#This Row],[MarginPct]]</f>
        <v>5212.2960000000003</v>
      </c>
    </row>
    <row r="185" spans="1:22" x14ac:dyDescent="0.25">
      <c r="A185" t="s">
        <v>274</v>
      </c>
      <c r="B185" t="s">
        <v>135</v>
      </c>
      <c r="C185" t="s">
        <v>237</v>
      </c>
      <c r="D185" s="1">
        <v>46357</v>
      </c>
      <c r="E185">
        <v>2023</v>
      </c>
      <c r="F185" t="s">
        <v>32</v>
      </c>
      <c r="G185" s="3">
        <v>120</v>
      </c>
      <c r="H185" s="3">
        <v>120</v>
      </c>
      <c r="I185" s="2">
        <v>0</v>
      </c>
      <c r="J185" t="s">
        <v>33</v>
      </c>
      <c r="K185" t="s">
        <v>34</v>
      </c>
      <c r="L185" s="1">
        <v>46058</v>
      </c>
      <c r="M185">
        <v>659</v>
      </c>
      <c r="N185" s="3">
        <v>79080</v>
      </c>
      <c r="O185" s="3">
        <v>55.2</v>
      </c>
      <c r="P185" s="2">
        <v>0.54</v>
      </c>
      <c r="Q185">
        <v>1936</v>
      </c>
      <c r="R185">
        <v>2.94</v>
      </c>
      <c r="S185" s="2">
        <v>0.25390000000000001</v>
      </c>
      <c r="T185" t="s">
        <v>39</v>
      </c>
      <c r="U185" t="s">
        <v>28</v>
      </c>
      <c r="V185" s="3">
        <f>retail_dataset_additional_200_rows[[#This Row],[Revenue_Week]]*retail_dataset_additional_200_rows[[#This Row],[MarginPct]]</f>
        <v>42703.200000000004</v>
      </c>
    </row>
    <row r="186" spans="1:22" x14ac:dyDescent="0.25">
      <c r="A186" t="s">
        <v>275</v>
      </c>
      <c r="B186" t="s">
        <v>47</v>
      </c>
      <c r="C186" t="s">
        <v>105</v>
      </c>
      <c r="D186" s="1">
        <v>46113</v>
      </c>
      <c r="E186">
        <v>2025</v>
      </c>
      <c r="F186" t="s">
        <v>32</v>
      </c>
      <c r="G186" s="3">
        <v>30</v>
      </c>
      <c r="H186" s="3">
        <v>30</v>
      </c>
      <c r="I186" s="2">
        <v>0</v>
      </c>
      <c r="J186" t="s">
        <v>33</v>
      </c>
      <c r="K186" t="s">
        <v>34</v>
      </c>
      <c r="L186" s="1">
        <v>46061</v>
      </c>
      <c r="M186">
        <v>759</v>
      </c>
      <c r="N186" s="3">
        <v>22770</v>
      </c>
      <c r="O186" s="3">
        <v>12.69</v>
      </c>
      <c r="P186" s="2">
        <v>0.57699999999999996</v>
      </c>
      <c r="Q186">
        <v>359</v>
      </c>
      <c r="R186">
        <v>0.47</v>
      </c>
      <c r="S186" s="2">
        <v>0.67889999999999995</v>
      </c>
      <c r="T186" t="s">
        <v>39</v>
      </c>
      <c r="U186" t="s">
        <v>35</v>
      </c>
      <c r="V186" s="3">
        <f>retail_dataset_additional_200_rows[[#This Row],[Revenue_Week]]*retail_dataset_additional_200_rows[[#This Row],[MarginPct]]</f>
        <v>13138.289999999999</v>
      </c>
    </row>
    <row r="187" spans="1:22" x14ac:dyDescent="0.25">
      <c r="A187" t="s">
        <v>276</v>
      </c>
      <c r="B187" t="s">
        <v>195</v>
      </c>
      <c r="C187" t="s">
        <v>277</v>
      </c>
      <c r="D187" s="1">
        <v>46082</v>
      </c>
      <c r="E187">
        <v>2025</v>
      </c>
      <c r="F187" t="s">
        <v>32</v>
      </c>
      <c r="G187" s="3">
        <v>70</v>
      </c>
      <c r="H187" s="3">
        <v>70</v>
      </c>
      <c r="I187" s="2">
        <v>0</v>
      </c>
      <c r="J187" t="s">
        <v>33</v>
      </c>
      <c r="K187" t="s">
        <v>34</v>
      </c>
      <c r="L187" s="1">
        <v>46063</v>
      </c>
      <c r="M187">
        <v>731</v>
      </c>
      <c r="N187" s="3">
        <v>51170</v>
      </c>
      <c r="O187" s="3">
        <v>36.29</v>
      </c>
      <c r="P187" s="2">
        <v>0.48159999999999997</v>
      </c>
      <c r="Q187">
        <v>1964</v>
      </c>
      <c r="R187">
        <v>2.69</v>
      </c>
      <c r="S187" s="2">
        <v>0.2712</v>
      </c>
      <c r="T187" t="s">
        <v>52</v>
      </c>
      <c r="U187" t="s">
        <v>28</v>
      </c>
      <c r="V187" s="3">
        <f>retail_dataset_additional_200_rows[[#This Row],[Revenue_Week]]*retail_dataset_additional_200_rows[[#This Row],[MarginPct]]</f>
        <v>24643.471999999998</v>
      </c>
    </row>
    <row r="188" spans="1:22" x14ac:dyDescent="0.25">
      <c r="A188" t="s">
        <v>278</v>
      </c>
      <c r="B188" t="s">
        <v>65</v>
      </c>
      <c r="C188" t="s">
        <v>182</v>
      </c>
      <c r="D188" s="1">
        <v>46143</v>
      </c>
      <c r="E188">
        <v>2023</v>
      </c>
      <c r="F188" t="s">
        <v>24</v>
      </c>
      <c r="G188" s="3">
        <v>30</v>
      </c>
      <c r="H188" s="3">
        <v>24</v>
      </c>
      <c r="I188" s="2">
        <v>0.2</v>
      </c>
      <c r="J188" t="s">
        <v>25</v>
      </c>
      <c r="K188" t="s">
        <v>45</v>
      </c>
      <c r="L188" s="1">
        <v>46063</v>
      </c>
      <c r="M188">
        <v>296</v>
      </c>
      <c r="N188" s="3">
        <v>7104</v>
      </c>
      <c r="O188" s="3">
        <v>12.44</v>
      </c>
      <c r="P188" s="2">
        <v>0.48170000000000002</v>
      </c>
      <c r="Q188">
        <v>468</v>
      </c>
      <c r="R188">
        <v>1.58</v>
      </c>
      <c r="S188" s="2">
        <v>0.38740000000000002</v>
      </c>
      <c r="T188" t="s">
        <v>27</v>
      </c>
      <c r="U188" t="s">
        <v>28</v>
      </c>
      <c r="V188" s="3">
        <f>retail_dataset_additional_200_rows[[#This Row],[Revenue_Week]]*retail_dataset_additional_200_rows[[#This Row],[MarginPct]]</f>
        <v>3421.9967999999999</v>
      </c>
    </row>
    <row r="189" spans="1:22" x14ac:dyDescent="0.25">
      <c r="A189" t="s">
        <v>279</v>
      </c>
      <c r="B189" t="s">
        <v>30</v>
      </c>
      <c r="C189" t="s">
        <v>128</v>
      </c>
      <c r="D189" s="1">
        <v>46082</v>
      </c>
      <c r="E189">
        <v>2025</v>
      </c>
      <c r="F189" t="s">
        <v>24</v>
      </c>
      <c r="G189" s="3">
        <v>150</v>
      </c>
      <c r="H189" s="3">
        <v>120</v>
      </c>
      <c r="I189" s="2">
        <v>0.2</v>
      </c>
      <c r="J189" t="s">
        <v>25</v>
      </c>
      <c r="K189" t="s">
        <v>26</v>
      </c>
      <c r="L189" s="1">
        <v>46067</v>
      </c>
      <c r="M189">
        <v>619</v>
      </c>
      <c r="N189" s="3">
        <v>74280</v>
      </c>
      <c r="O189" s="3">
        <v>88.7</v>
      </c>
      <c r="P189" s="2">
        <v>0.26079999999999998</v>
      </c>
      <c r="Q189">
        <v>1695</v>
      </c>
      <c r="R189">
        <v>2.74</v>
      </c>
      <c r="S189" s="2">
        <v>0.26750000000000002</v>
      </c>
      <c r="T189" t="s">
        <v>52</v>
      </c>
      <c r="U189" t="s">
        <v>67</v>
      </c>
      <c r="V189" s="3">
        <f>retail_dataset_additional_200_rows[[#This Row],[Revenue_Week]]*retail_dataset_additional_200_rows[[#This Row],[MarginPct]]</f>
        <v>19372.223999999998</v>
      </c>
    </row>
    <row r="190" spans="1:22" x14ac:dyDescent="0.25">
      <c r="A190" t="s">
        <v>280</v>
      </c>
      <c r="B190" t="s">
        <v>135</v>
      </c>
      <c r="C190" t="s">
        <v>31</v>
      </c>
      <c r="D190" s="1">
        <v>46082</v>
      </c>
      <c r="E190">
        <v>2024</v>
      </c>
      <c r="F190" t="s">
        <v>32</v>
      </c>
      <c r="G190" s="3">
        <v>120</v>
      </c>
      <c r="H190" s="3">
        <v>120</v>
      </c>
      <c r="I190" s="2">
        <v>0</v>
      </c>
      <c r="J190" t="s">
        <v>33</v>
      </c>
      <c r="K190" t="s">
        <v>34</v>
      </c>
      <c r="L190" s="1">
        <v>46056</v>
      </c>
      <c r="M190">
        <v>721</v>
      </c>
      <c r="N190" s="3">
        <v>86520</v>
      </c>
      <c r="O190" s="3">
        <v>53.4</v>
      </c>
      <c r="P190" s="2">
        <v>0.55500000000000005</v>
      </c>
      <c r="Q190">
        <v>1767</v>
      </c>
      <c r="R190">
        <v>2.4500000000000002</v>
      </c>
      <c r="S190" s="2">
        <v>0.2898</v>
      </c>
      <c r="T190" t="s">
        <v>39</v>
      </c>
      <c r="U190" t="s">
        <v>67</v>
      </c>
      <c r="V190" s="3">
        <f>retail_dataset_additional_200_rows[[#This Row],[Revenue_Week]]*retail_dataset_additional_200_rows[[#This Row],[MarginPct]]</f>
        <v>48018.600000000006</v>
      </c>
    </row>
    <row r="191" spans="1:22" x14ac:dyDescent="0.25">
      <c r="A191" t="s">
        <v>281</v>
      </c>
      <c r="B191" t="s">
        <v>22</v>
      </c>
      <c r="C191" t="s">
        <v>206</v>
      </c>
      <c r="D191" s="1">
        <v>46357</v>
      </c>
      <c r="E191">
        <v>2025</v>
      </c>
      <c r="F191" t="s">
        <v>24</v>
      </c>
      <c r="G191" s="3">
        <v>55</v>
      </c>
      <c r="H191" s="3">
        <v>44</v>
      </c>
      <c r="I191" s="2">
        <v>0.2</v>
      </c>
      <c r="J191" t="s">
        <v>25</v>
      </c>
      <c r="K191" t="s">
        <v>26</v>
      </c>
      <c r="L191" s="1">
        <v>46057</v>
      </c>
      <c r="M191">
        <v>416</v>
      </c>
      <c r="N191" s="3">
        <v>18304</v>
      </c>
      <c r="O191" s="3">
        <v>19.54</v>
      </c>
      <c r="P191" s="2">
        <v>0.55589999999999995</v>
      </c>
      <c r="Q191">
        <v>1807</v>
      </c>
      <c r="R191">
        <v>4.34</v>
      </c>
      <c r="S191" s="2">
        <v>0.18709999999999999</v>
      </c>
      <c r="T191" t="s">
        <v>52</v>
      </c>
      <c r="U191" t="s">
        <v>35</v>
      </c>
      <c r="V191" s="3">
        <f>retail_dataset_additional_200_rows[[#This Row],[Revenue_Week]]*retail_dataset_additional_200_rows[[#This Row],[MarginPct]]</f>
        <v>10175.193599999999</v>
      </c>
    </row>
    <row r="192" spans="1:22" x14ac:dyDescent="0.25">
      <c r="A192" t="s">
        <v>282</v>
      </c>
      <c r="B192" t="s">
        <v>69</v>
      </c>
      <c r="C192" t="s">
        <v>70</v>
      </c>
      <c r="D192" s="1">
        <v>46143</v>
      </c>
      <c r="E192">
        <v>2023</v>
      </c>
      <c r="F192" t="s">
        <v>24</v>
      </c>
      <c r="G192" s="3">
        <v>50</v>
      </c>
      <c r="H192" s="3">
        <v>40</v>
      </c>
      <c r="I192" s="2">
        <v>0.2</v>
      </c>
      <c r="J192" t="s">
        <v>25</v>
      </c>
      <c r="K192" t="s">
        <v>26</v>
      </c>
      <c r="L192" s="1">
        <v>46067</v>
      </c>
      <c r="M192">
        <v>90</v>
      </c>
      <c r="N192" s="3">
        <v>3600</v>
      </c>
      <c r="O192" s="3">
        <v>20.48</v>
      </c>
      <c r="P192" s="2">
        <v>0.48799999999999999</v>
      </c>
      <c r="Q192">
        <v>612</v>
      </c>
      <c r="R192">
        <v>6.8</v>
      </c>
      <c r="S192" s="2">
        <v>0.12820000000000001</v>
      </c>
      <c r="T192" t="s">
        <v>27</v>
      </c>
      <c r="U192" t="s">
        <v>28</v>
      </c>
      <c r="V192" s="3">
        <f>retail_dataset_additional_200_rows[[#This Row],[Revenue_Week]]*retail_dataset_additional_200_rows[[#This Row],[MarginPct]]</f>
        <v>1756.8</v>
      </c>
    </row>
    <row r="193" spans="1:22" x14ac:dyDescent="0.25">
      <c r="A193" t="s">
        <v>283</v>
      </c>
      <c r="B193" t="s">
        <v>37</v>
      </c>
      <c r="C193" t="s">
        <v>80</v>
      </c>
      <c r="D193" s="1">
        <v>46357</v>
      </c>
      <c r="E193">
        <v>2024</v>
      </c>
      <c r="F193" t="s">
        <v>24</v>
      </c>
      <c r="G193" s="3">
        <v>55</v>
      </c>
      <c r="H193" s="3">
        <v>44</v>
      </c>
      <c r="I193" s="2">
        <v>0.2</v>
      </c>
      <c r="J193" t="s">
        <v>25</v>
      </c>
      <c r="K193" t="s">
        <v>26</v>
      </c>
      <c r="L193" s="1">
        <v>46059</v>
      </c>
      <c r="M193">
        <v>358</v>
      </c>
      <c r="N193" s="3">
        <v>15752</v>
      </c>
      <c r="O193" s="3">
        <v>28.16</v>
      </c>
      <c r="P193" s="2">
        <v>0.36</v>
      </c>
      <c r="Q193">
        <v>896</v>
      </c>
      <c r="R193">
        <v>2.5</v>
      </c>
      <c r="S193" s="2">
        <v>0.28549999999999998</v>
      </c>
      <c r="T193" t="s">
        <v>27</v>
      </c>
      <c r="U193" t="s">
        <v>67</v>
      </c>
      <c r="V193" s="3">
        <f>retail_dataset_additional_200_rows[[#This Row],[Revenue_Week]]*retail_dataset_additional_200_rows[[#This Row],[MarginPct]]</f>
        <v>5670.7199999999993</v>
      </c>
    </row>
    <row r="194" spans="1:22" x14ac:dyDescent="0.25">
      <c r="A194" t="s">
        <v>284</v>
      </c>
      <c r="B194" t="s">
        <v>98</v>
      </c>
      <c r="C194" t="s">
        <v>115</v>
      </c>
      <c r="D194" s="1">
        <v>46357</v>
      </c>
      <c r="E194">
        <v>2025</v>
      </c>
      <c r="F194" t="s">
        <v>32</v>
      </c>
      <c r="G194" s="3">
        <v>55</v>
      </c>
      <c r="H194" s="3">
        <v>55</v>
      </c>
      <c r="I194" s="2">
        <v>0</v>
      </c>
      <c r="J194" t="s">
        <v>33</v>
      </c>
      <c r="K194" t="s">
        <v>34</v>
      </c>
      <c r="L194" s="1">
        <v>46059</v>
      </c>
      <c r="M194">
        <v>367</v>
      </c>
      <c r="N194" s="3">
        <v>20185</v>
      </c>
      <c r="O194" s="3">
        <v>21.49</v>
      </c>
      <c r="P194" s="2">
        <v>0.60929999999999995</v>
      </c>
      <c r="Q194">
        <v>580</v>
      </c>
      <c r="R194">
        <v>1.58</v>
      </c>
      <c r="S194" s="2">
        <v>0.38750000000000001</v>
      </c>
      <c r="T194" t="s">
        <v>27</v>
      </c>
      <c r="U194" t="s">
        <v>67</v>
      </c>
      <c r="V194" s="3">
        <f>retail_dataset_additional_200_rows[[#This Row],[Revenue_Week]]*retail_dataset_additional_200_rows[[#This Row],[MarginPct]]</f>
        <v>12298.720499999999</v>
      </c>
    </row>
    <row r="195" spans="1:22" x14ac:dyDescent="0.25">
      <c r="A195" t="s">
        <v>285</v>
      </c>
      <c r="B195" t="s">
        <v>43</v>
      </c>
      <c r="C195" t="s">
        <v>54</v>
      </c>
      <c r="D195" s="1">
        <v>46023</v>
      </c>
      <c r="E195">
        <v>2023</v>
      </c>
      <c r="F195" t="s">
        <v>24</v>
      </c>
      <c r="G195" s="3">
        <v>70</v>
      </c>
      <c r="H195" s="3">
        <v>56</v>
      </c>
      <c r="I195" s="2">
        <v>0.2</v>
      </c>
      <c r="J195" t="s">
        <v>25</v>
      </c>
      <c r="K195" t="s">
        <v>26</v>
      </c>
      <c r="L195" s="1">
        <v>46060</v>
      </c>
      <c r="M195">
        <v>89</v>
      </c>
      <c r="N195" s="3">
        <v>4984</v>
      </c>
      <c r="O195" s="3">
        <v>33.42</v>
      </c>
      <c r="P195" s="2">
        <v>0.4032</v>
      </c>
      <c r="Q195">
        <v>1120</v>
      </c>
      <c r="R195">
        <v>12.58</v>
      </c>
      <c r="S195" s="2">
        <v>7.3599999999999999E-2</v>
      </c>
      <c r="T195" t="s">
        <v>27</v>
      </c>
      <c r="U195" t="s">
        <v>35</v>
      </c>
      <c r="V195" s="3">
        <f>retail_dataset_additional_200_rows[[#This Row],[Revenue_Week]]*retail_dataset_additional_200_rows[[#This Row],[MarginPct]]</f>
        <v>2009.5488</v>
      </c>
    </row>
    <row r="196" spans="1:22" x14ac:dyDescent="0.25">
      <c r="A196" t="s">
        <v>286</v>
      </c>
      <c r="B196" t="s">
        <v>56</v>
      </c>
      <c r="C196" t="s">
        <v>57</v>
      </c>
      <c r="D196" s="1">
        <v>46023</v>
      </c>
      <c r="E196">
        <v>2024</v>
      </c>
      <c r="F196" t="s">
        <v>32</v>
      </c>
      <c r="G196" s="3">
        <v>80</v>
      </c>
      <c r="H196" s="3">
        <v>80</v>
      </c>
      <c r="I196" s="2">
        <v>0</v>
      </c>
      <c r="J196" t="s">
        <v>33</v>
      </c>
      <c r="K196" t="s">
        <v>34</v>
      </c>
      <c r="L196" s="1">
        <v>46063</v>
      </c>
      <c r="M196">
        <v>717</v>
      </c>
      <c r="N196" s="3">
        <v>57360</v>
      </c>
      <c r="O196" s="3">
        <v>38.57</v>
      </c>
      <c r="P196" s="2">
        <v>0.51790000000000003</v>
      </c>
      <c r="Q196">
        <v>970</v>
      </c>
      <c r="R196">
        <v>1.35</v>
      </c>
      <c r="S196" s="2">
        <v>0.42499999999999999</v>
      </c>
      <c r="T196" t="s">
        <v>39</v>
      </c>
      <c r="U196" t="s">
        <v>28</v>
      </c>
      <c r="V196" s="3">
        <f>retail_dataset_additional_200_rows[[#This Row],[Revenue_Week]]*retail_dataset_additional_200_rows[[#This Row],[MarginPct]]</f>
        <v>29706.744000000002</v>
      </c>
    </row>
    <row r="197" spans="1:22" x14ac:dyDescent="0.25">
      <c r="A197" t="s">
        <v>287</v>
      </c>
      <c r="B197" t="s">
        <v>50</v>
      </c>
      <c r="C197" t="s">
        <v>51</v>
      </c>
      <c r="D197" s="1">
        <v>46357</v>
      </c>
      <c r="E197">
        <v>2024</v>
      </c>
      <c r="F197" t="s">
        <v>24</v>
      </c>
      <c r="G197" s="3">
        <v>70</v>
      </c>
      <c r="H197" s="3">
        <v>56</v>
      </c>
      <c r="I197" s="2">
        <v>0.2</v>
      </c>
      <c r="J197" t="s">
        <v>25</v>
      </c>
      <c r="K197" t="s">
        <v>45</v>
      </c>
      <c r="L197" s="1">
        <v>46062</v>
      </c>
      <c r="M197">
        <v>554</v>
      </c>
      <c r="N197" s="3">
        <v>31024</v>
      </c>
      <c r="O197" s="3">
        <v>35.68</v>
      </c>
      <c r="P197" s="2">
        <v>0.3629</v>
      </c>
      <c r="Q197">
        <v>954</v>
      </c>
      <c r="R197">
        <v>1.72</v>
      </c>
      <c r="S197" s="2">
        <v>0.3674</v>
      </c>
      <c r="T197" t="s">
        <v>27</v>
      </c>
      <c r="U197" t="s">
        <v>35</v>
      </c>
      <c r="V197" s="3">
        <f>retail_dataset_additional_200_rows[[#This Row],[Revenue_Week]]*retail_dataset_additional_200_rows[[#This Row],[MarginPct]]</f>
        <v>11258.6096</v>
      </c>
    </row>
    <row r="198" spans="1:22" x14ac:dyDescent="0.25">
      <c r="A198" t="s">
        <v>288</v>
      </c>
      <c r="B198" t="s">
        <v>69</v>
      </c>
      <c r="C198" t="s">
        <v>74</v>
      </c>
      <c r="D198" s="1">
        <v>46023</v>
      </c>
      <c r="E198">
        <v>2023</v>
      </c>
      <c r="F198" t="s">
        <v>24</v>
      </c>
      <c r="G198" s="3">
        <v>35</v>
      </c>
      <c r="H198" s="3">
        <v>28</v>
      </c>
      <c r="I198" s="2">
        <v>0.2</v>
      </c>
      <c r="J198" t="s">
        <v>25</v>
      </c>
      <c r="K198" t="s">
        <v>45</v>
      </c>
      <c r="L198" s="1">
        <v>46062</v>
      </c>
      <c r="M198">
        <v>439</v>
      </c>
      <c r="N198" s="3">
        <v>12292</v>
      </c>
      <c r="O198" s="3">
        <v>13.91</v>
      </c>
      <c r="P198" s="2">
        <v>0.50319999999999998</v>
      </c>
      <c r="Q198">
        <v>1584</v>
      </c>
      <c r="R198">
        <v>3.61</v>
      </c>
      <c r="S198" s="2">
        <v>0.217</v>
      </c>
      <c r="T198" t="s">
        <v>52</v>
      </c>
      <c r="U198" t="s">
        <v>67</v>
      </c>
      <c r="V198" s="3">
        <f>retail_dataset_additional_200_rows[[#This Row],[Revenue_Week]]*retail_dataset_additional_200_rows[[#This Row],[MarginPct]]</f>
        <v>6185.3343999999997</v>
      </c>
    </row>
    <row r="199" spans="1:22" x14ac:dyDescent="0.25">
      <c r="A199" t="s">
        <v>289</v>
      </c>
      <c r="B199" t="s">
        <v>65</v>
      </c>
      <c r="C199" t="s">
        <v>66</v>
      </c>
      <c r="D199" s="1">
        <v>46113</v>
      </c>
      <c r="E199">
        <v>2023</v>
      </c>
      <c r="F199" t="s">
        <v>24</v>
      </c>
      <c r="G199" s="3">
        <v>75</v>
      </c>
      <c r="H199" s="3">
        <v>60</v>
      </c>
      <c r="I199" s="2">
        <v>0.2</v>
      </c>
      <c r="J199" t="s">
        <v>25</v>
      </c>
      <c r="K199" t="s">
        <v>26</v>
      </c>
      <c r="L199" s="1">
        <v>46067</v>
      </c>
      <c r="M199">
        <v>251</v>
      </c>
      <c r="N199" s="3">
        <v>15060</v>
      </c>
      <c r="O199" s="3">
        <v>39.409999999999997</v>
      </c>
      <c r="P199" s="2">
        <v>0.34320000000000001</v>
      </c>
      <c r="Q199">
        <v>738</v>
      </c>
      <c r="R199">
        <v>2.94</v>
      </c>
      <c r="S199" s="2">
        <v>0.25380000000000003</v>
      </c>
      <c r="T199" t="s">
        <v>27</v>
      </c>
      <c r="U199" t="s">
        <v>67</v>
      </c>
      <c r="V199" s="3">
        <f>retail_dataset_additional_200_rows[[#This Row],[Revenue_Week]]*retail_dataset_additional_200_rows[[#This Row],[MarginPct]]</f>
        <v>5168.5919999999996</v>
      </c>
    </row>
    <row r="200" spans="1:22" x14ac:dyDescent="0.25">
      <c r="A200" t="s">
        <v>290</v>
      </c>
      <c r="B200" t="s">
        <v>22</v>
      </c>
      <c r="C200" t="s">
        <v>111</v>
      </c>
      <c r="D200" s="1">
        <v>46235</v>
      </c>
      <c r="E200">
        <v>2023</v>
      </c>
      <c r="F200" t="s">
        <v>32</v>
      </c>
      <c r="G200" s="3">
        <v>150</v>
      </c>
      <c r="H200" s="3">
        <v>150</v>
      </c>
      <c r="I200" s="2">
        <v>0</v>
      </c>
      <c r="J200" t="s">
        <v>33</v>
      </c>
      <c r="K200" t="s">
        <v>34</v>
      </c>
      <c r="L200" s="1">
        <v>46064</v>
      </c>
      <c r="M200">
        <v>164</v>
      </c>
      <c r="N200" s="3">
        <v>24600</v>
      </c>
      <c r="O200" s="3">
        <v>52.61</v>
      </c>
      <c r="P200" s="2">
        <v>0.64929999999999999</v>
      </c>
      <c r="Q200">
        <v>1983</v>
      </c>
      <c r="R200">
        <v>12.09</v>
      </c>
      <c r="S200" s="2">
        <v>7.6399999999999996E-2</v>
      </c>
      <c r="T200" t="s">
        <v>39</v>
      </c>
      <c r="U200" t="s">
        <v>67</v>
      </c>
      <c r="V200" s="3">
        <f>retail_dataset_additional_200_rows[[#This Row],[Revenue_Week]]*retail_dataset_additional_200_rows[[#This Row],[MarginPct]]</f>
        <v>15972.779999999999</v>
      </c>
    </row>
    <row r="201" spans="1:22" x14ac:dyDescent="0.25">
      <c r="A201" t="s">
        <v>291</v>
      </c>
      <c r="B201" t="s">
        <v>37</v>
      </c>
      <c r="C201" t="s">
        <v>80</v>
      </c>
      <c r="D201" s="1">
        <v>46082</v>
      </c>
      <c r="E201">
        <v>2025</v>
      </c>
      <c r="F201" t="s">
        <v>24</v>
      </c>
      <c r="G201" s="3">
        <v>25</v>
      </c>
      <c r="H201" s="3">
        <v>20</v>
      </c>
      <c r="I201" s="2">
        <v>0.2</v>
      </c>
      <c r="J201" t="s">
        <v>25</v>
      </c>
      <c r="K201" t="s">
        <v>26</v>
      </c>
      <c r="L201" s="1">
        <v>46057</v>
      </c>
      <c r="M201">
        <v>657</v>
      </c>
      <c r="N201" s="3">
        <v>13140</v>
      </c>
      <c r="O201" s="3">
        <v>9.73</v>
      </c>
      <c r="P201" s="2">
        <v>0.51349999999999996</v>
      </c>
      <c r="Q201">
        <v>841</v>
      </c>
      <c r="R201">
        <v>1.28</v>
      </c>
      <c r="S201" s="2">
        <v>0.43859999999999999</v>
      </c>
      <c r="T201" t="s">
        <v>52</v>
      </c>
      <c r="U201" t="s">
        <v>40</v>
      </c>
      <c r="V201" s="3">
        <f>retail_dataset_additional_200_rows[[#This Row],[Revenue_Week]]*retail_dataset_additional_200_rows[[#This Row],[MarginPct]]</f>
        <v>6747.3899999999994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54F07-2380-496D-95D1-93A15967D227}">
  <dimension ref="B2:L41"/>
  <sheetViews>
    <sheetView showGridLines="0" workbookViewId="0">
      <selection activeCell="F25" sqref="F25"/>
    </sheetView>
  </sheetViews>
  <sheetFormatPr defaultRowHeight="15" x14ac:dyDescent="0.25"/>
  <cols>
    <col min="1" max="2" width="13.42578125" bestFit="1" customWidth="1"/>
    <col min="3" max="3" width="22.140625" bestFit="1" customWidth="1"/>
    <col min="4" max="4" width="20" bestFit="1" customWidth="1"/>
    <col min="5" max="6" width="24.85546875" bestFit="1" customWidth="1"/>
    <col min="7" max="7" width="13.42578125" bestFit="1" customWidth="1"/>
    <col min="8" max="8" width="22.140625" bestFit="1" customWidth="1"/>
    <col min="9" max="9" width="22.85546875" bestFit="1" customWidth="1"/>
    <col min="10" max="10" width="25.85546875" bestFit="1" customWidth="1"/>
    <col min="11" max="11" width="20" bestFit="1" customWidth="1"/>
    <col min="12" max="12" width="24.85546875" bestFit="1" customWidth="1"/>
  </cols>
  <sheetData>
    <row r="2" spans="7:12" x14ac:dyDescent="0.25">
      <c r="G2" s="4" t="s">
        <v>292</v>
      </c>
      <c r="H2" t="s">
        <v>294</v>
      </c>
      <c r="I2" t="s">
        <v>295</v>
      </c>
      <c r="J2" t="s">
        <v>298</v>
      </c>
      <c r="K2" t="s">
        <v>296</v>
      </c>
      <c r="L2" t="s">
        <v>297</v>
      </c>
    </row>
    <row r="3" spans="7:12" x14ac:dyDescent="0.25">
      <c r="G3" s="5" t="s">
        <v>33</v>
      </c>
      <c r="H3" s="7">
        <v>3090110</v>
      </c>
      <c r="I3">
        <v>46393</v>
      </c>
      <c r="J3" s="6">
        <v>3.7377669902912634</v>
      </c>
      <c r="K3" s="2">
        <v>0.51932330097087387</v>
      </c>
      <c r="L3" s="2">
        <v>0.30289029126213596</v>
      </c>
    </row>
    <row r="4" spans="7:12" x14ac:dyDescent="0.25">
      <c r="G4" s="5" t="s">
        <v>25</v>
      </c>
      <c r="H4" s="7">
        <v>2189800</v>
      </c>
      <c r="I4">
        <v>41394</v>
      </c>
      <c r="J4" s="6">
        <v>3.5527835051546397</v>
      </c>
      <c r="K4" s="2">
        <v>0.41220927835051546</v>
      </c>
      <c r="L4" s="2">
        <v>0.28928659793814421</v>
      </c>
    </row>
    <row r="5" spans="7:12" x14ac:dyDescent="0.25">
      <c r="G5" s="5" t="s">
        <v>293</v>
      </c>
      <c r="H5" s="7">
        <v>5279910</v>
      </c>
      <c r="I5">
        <v>87787</v>
      </c>
      <c r="J5" s="6">
        <v>3.6480500000000031</v>
      </c>
      <c r="K5" s="2">
        <v>0.46737299999999993</v>
      </c>
      <c r="L5" s="2">
        <v>0.29629249999999979</v>
      </c>
    </row>
    <row r="38" spans="2:4" x14ac:dyDescent="0.25">
      <c r="B38" s="4" t="s">
        <v>292</v>
      </c>
      <c r="C38" t="s">
        <v>294</v>
      </c>
      <c r="D38" t="s">
        <v>296</v>
      </c>
    </row>
    <row r="39" spans="2:4" x14ac:dyDescent="0.25">
      <c r="B39" s="5" t="s">
        <v>33</v>
      </c>
      <c r="C39" s="7">
        <v>3090110</v>
      </c>
      <c r="D39" s="2">
        <v>0.51932330097087387</v>
      </c>
    </row>
    <row r="40" spans="2:4" x14ac:dyDescent="0.25">
      <c r="B40" s="5" t="s">
        <v>25</v>
      </c>
      <c r="C40" s="7">
        <v>2189800</v>
      </c>
      <c r="D40" s="2">
        <v>0.41220927835051546</v>
      </c>
    </row>
    <row r="41" spans="2:4" x14ac:dyDescent="0.25">
      <c r="B41" s="5" t="s">
        <v>293</v>
      </c>
      <c r="C41" s="7">
        <v>5279910</v>
      </c>
      <c r="D41" s="2">
        <v>0.46737299999999993</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DFC31-3894-46C9-8878-9A0AA670BA27}">
  <dimension ref="A13:C77"/>
  <sheetViews>
    <sheetView showGridLines="0" tabSelected="1" topLeftCell="A28" zoomScaleNormal="100" workbookViewId="0">
      <selection activeCell="W37" sqref="W37"/>
    </sheetView>
  </sheetViews>
  <sheetFormatPr defaultRowHeight="15" x14ac:dyDescent="0.25"/>
  <cols>
    <col min="1" max="1" width="18.140625" bestFit="1" customWidth="1"/>
    <col min="2" max="2" width="25.85546875" bestFit="1" customWidth="1"/>
    <col min="3" max="3" width="24.85546875" bestFit="1" customWidth="1"/>
  </cols>
  <sheetData>
    <row r="13" spans="1:2" x14ac:dyDescent="0.25">
      <c r="A13" s="4" t="s">
        <v>292</v>
      </c>
      <c r="B13" t="s">
        <v>294</v>
      </c>
    </row>
    <row r="14" spans="1:2" x14ac:dyDescent="0.25">
      <c r="A14" s="5" t="s">
        <v>47</v>
      </c>
      <c r="B14" s="7">
        <v>641812</v>
      </c>
    </row>
    <row r="15" spans="1:2" x14ac:dyDescent="0.25">
      <c r="A15" s="5" t="s">
        <v>135</v>
      </c>
      <c r="B15" s="7">
        <v>476940</v>
      </c>
    </row>
    <row r="16" spans="1:2" x14ac:dyDescent="0.25">
      <c r="A16" s="5" t="s">
        <v>65</v>
      </c>
      <c r="B16" s="7">
        <v>437422</v>
      </c>
    </row>
    <row r="17" spans="1:2" x14ac:dyDescent="0.25">
      <c r="A17" s="5" t="s">
        <v>30</v>
      </c>
      <c r="B17" s="7">
        <v>407195</v>
      </c>
    </row>
    <row r="18" spans="1:2" x14ac:dyDescent="0.25">
      <c r="A18" s="5" t="s">
        <v>43</v>
      </c>
      <c r="B18" s="7">
        <v>386867</v>
      </c>
    </row>
    <row r="19" spans="1:2" x14ac:dyDescent="0.25">
      <c r="A19" s="5" t="s">
        <v>56</v>
      </c>
      <c r="B19" s="7">
        <v>385457</v>
      </c>
    </row>
    <row r="20" spans="1:2" x14ac:dyDescent="0.25">
      <c r="A20" s="5" t="s">
        <v>62</v>
      </c>
      <c r="B20" s="7">
        <v>351255</v>
      </c>
    </row>
    <row r="21" spans="1:2" x14ac:dyDescent="0.25">
      <c r="A21" s="5" t="s">
        <v>69</v>
      </c>
      <c r="B21" s="7">
        <v>337932</v>
      </c>
    </row>
    <row r="22" spans="1:2" x14ac:dyDescent="0.25">
      <c r="A22" s="5" t="s">
        <v>98</v>
      </c>
      <c r="B22" s="7">
        <v>329698</v>
      </c>
    </row>
    <row r="23" spans="1:2" x14ac:dyDescent="0.25">
      <c r="A23" s="5" t="s">
        <v>50</v>
      </c>
      <c r="B23" s="7">
        <v>313506</v>
      </c>
    </row>
    <row r="24" spans="1:2" x14ac:dyDescent="0.25">
      <c r="A24" s="5" t="s">
        <v>59</v>
      </c>
      <c r="B24" s="7">
        <v>287273</v>
      </c>
    </row>
    <row r="25" spans="1:2" x14ac:dyDescent="0.25">
      <c r="A25" s="5" t="s">
        <v>22</v>
      </c>
      <c r="B25" s="7">
        <v>279642</v>
      </c>
    </row>
    <row r="26" spans="1:2" x14ac:dyDescent="0.25">
      <c r="A26" s="5" t="s">
        <v>42</v>
      </c>
      <c r="B26" s="7">
        <v>254457</v>
      </c>
    </row>
    <row r="27" spans="1:2" x14ac:dyDescent="0.25">
      <c r="A27" s="5" t="s">
        <v>37</v>
      </c>
      <c r="B27" s="7">
        <v>153817</v>
      </c>
    </row>
    <row r="28" spans="1:2" x14ac:dyDescent="0.25">
      <c r="A28" s="5" t="s">
        <v>167</v>
      </c>
      <c r="B28" s="7">
        <v>123717</v>
      </c>
    </row>
    <row r="29" spans="1:2" x14ac:dyDescent="0.25">
      <c r="A29" s="5" t="s">
        <v>195</v>
      </c>
      <c r="B29" s="7">
        <v>112920</v>
      </c>
    </row>
    <row r="30" spans="1:2" x14ac:dyDescent="0.25">
      <c r="A30" s="5" t="s">
        <v>293</v>
      </c>
      <c r="B30" s="7">
        <v>5279910</v>
      </c>
    </row>
    <row r="36" spans="1:3" x14ac:dyDescent="0.25">
      <c r="A36" s="4" t="s">
        <v>292</v>
      </c>
      <c r="B36" t="s">
        <v>294</v>
      </c>
      <c r="C36" t="s">
        <v>297</v>
      </c>
    </row>
    <row r="37" spans="1:3" x14ac:dyDescent="0.25">
      <c r="A37" s="5" t="s">
        <v>47</v>
      </c>
      <c r="B37" s="7">
        <v>641812</v>
      </c>
      <c r="C37" s="2">
        <v>0.34947619047619044</v>
      </c>
    </row>
    <row r="38" spans="1:3" x14ac:dyDescent="0.25">
      <c r="A38" s="5" t="s">
        <v>135</v>
      </c>
      <c r="B38" s="7">
        <v>476940</v>
      </c>
      <c r="C38" s="2">
        <v>0.28408749999999994</v>
      </c>
    </row>
    <row r="39" spans="1:3" x14ac:dyDescent="0.25">
      <c r="A39" s="5" t="s">
        <v>65</v>
      </c>
      <c r="B39" s="7">
        <v>437422</v>
      </c>
      <c r="C39" s="2">
        <v>0.29130714285714288</v>
      </c>
    </row>
    <row r="40" spans="1:3" x14ac:dyDescent="0.25">
      <c r="A40" s="5" t="s">
        <v>30</v>
      </c>
      <c r="B40" s="7">
        <v>407195</v>
      </c>
      <c r="C40" s="2">
        <v>0.3061875</v>
      </c>
    </row>
    <row r="41" spans="1:3" x14ac:dyDescent="0.25">
      <c r="A41" s="5" t="s">
        <v>43</v>
      </c>
      <c r="B41" s="7">
        <v>386867</v>
      </c>
      <c r="C41" s="2">
        <v>0.24260000000000001</v>
      </c>
    </row>
    <row r="42" spans="1:3" x14ac:dyDescent="0.25">
      <c r="A42" s="5" t="s">
        <v>56</v>
      </c>
      <c r="B42" s="7">
        <v>385457</v>
      </c>
      <c r="C42" s="2">
        <v>0.31080769230769228</v>
      </c>
    </row>
    <row r="43" spans="1:3" x14ac:dyDescent="0.25">
      <c r="A43" s="5" t="s">
        <v>62</v>
      </c>
      <c r="B43" s="7">
        <v>351255</v>
      </c>
      <c r="C43" s="2">
        <v>0.25960000000000005</v>
      </c>
    </row>
    <row r="44" spans="1:3" x14ac:dyDescent="0.25">
      <c r="A44" s="5" t="s">
        <v>69</v>
      </c>
      <c r="B44" s="7">
        <v>337932</v>
      </c>
      <c r="C44" s="2">
        <v>0.29073888888888882</v>
      </c>
    </row>
    <row r="45" spans="1:3" x14ac:dyDescent="0.25">
      <c r="A45" s="5" t="s">
        <v>98</v>
      </c>
      <c r="B45" s="7">
        <v>329698</v>
      </c>
      <c r="C45" s="2">
        <v>0.37362222222222224</v>
      </c>
    </row>
    <row r="46" spans="1:3" x14ac:dyDescent="0.25">
      <c r="A46" s="5" t="s">
        <v>50</v>
      </c>
      <c r="B46" s="7">
        <v>313506</v>
      </c>
      <c r="C46" s="2">
        <v>0.30601333333333336</v>
      </c>
    </row>
    <row r="47" spans="1:3" x14ac:dyDescent="0.25">
      <c r="A47" s="5" t="s">
        <v>59</v>
      </c>
      <c r="B47" s="7">
        <v>287273</v>
      </c>
      <c r="C47" s="2">
        <v>0.27814615384615388</v>
      </c>
    </row>
    <row r="48" spans="1:3" x14ac:dyDescent="0.25">
      <c r="A48" s="5" t="s">
        <v>22</v>
      </c>
      <c r="B48" s="7">
        <v>279642</v>
      </c>
      <c r="C48" s="2">
        <v>0.29728888888888888</v>
      </c>
    </row>
    <row r="49" spans="1:3" x14ac:dyDescent="0.25">
      <c r="A49" s="5" t="s">
        <v>42</v>
      </c>
      <c r="B49" s="7">
        <v>254457</v>
      </c>
      <c r="C49" s="2">
        <v>0.23222000000000001</v>
      </c>
    </row>
    <row r="50" spans="1:3" x14ac:dyDescent="0.25">
      <c r="A50" s="5" t="s">
        <v>37</v>
      </c>
      <c r="B50" s="7">
        <v>153817</v>
      </c>
      <c r="C50" s="2">
        <v>0.32772499999999999</v>
      </c>
    </row>
    <row r="51" spans="1:3" x14ac:dyDescent="0.25">
      <c r="A51" s="5" t="s">
        <v>167</v>
      </c>
      <c r="B51" s="7">
        <v>123717</v>
      </c>
      <c r="C51" s="2">
        <v>0.39409999999999995</v>
      </c>
    </row>
    <row r="52" spans="1:3" x14ac:dyDescent="0.25">
      <c r="A52" s="5" t="s">
        <v>195</v>
      </c>
      <c r="B52" s="7">
        <v>112920</v>
      </c>
      <c r="C52" s="2">
        <v>0.26785999999999993</v>
      </c>
    </row>
    <row r="53" spans="1:3" x14ac:dyDescent="0.25">
      <c r="A53" s="5" t="s">
        <v>293</v>
      </c>
      <c r="B53" s="7">
        <v>5279910</v>
      </c>
      <c r="C53" s="2">
        <v>0.2962924999999999</v>
      </c>
    </row>
    <row r="60" spans="1:3" x14ac:dyDescent="0.25">
      <c r="A60" s="4" t="s">
        <v>292</v>
      </c>
      <c r="B60" t="s">
        <v>298</v>
      </c>
    </row>
    <row r="61" spans="1:3" x14ac:dyDescent="0.25">
      <c r="A61" s="5" t="s">
        <v>42</v>
      </c>
      <c r="B61" s="6">
        <v>5.5246666666666675</v>
      </c>
    </row>
    <row r="62" spans="1:3" x14ac:dyDescent="0.25">
      <c r="A62" s="5" t="s">
        <v>69</v>
      </c>
      <c r="B62" s="6">
        <v>4.6483333333333325</v>
      </c>
    </row>
    <row r="63" spans="1:3" x14ac:dyDescent="0.25">
      <c r="A63" s="5" t="s">
        <v>43</v>
      </c>
      <c r="B63" s="6">
        <v>4.6257142857142863</v>
      </c>
    </row>
    <row r="64" spans="1:3" x14ac:dyDescent="0.25">
      <c r="A64" s="5" t="s">
        <v>59</v>
      </c>
      <c r="B64" s="6">
        <v>4.3976923076923082</v>
      </c>
    </row>
    <row r="65" spans="1:2" x14ac:dyDescent="0.25">
      <c r="A65" s="5" t="s">
        <v>62</v>
      </c>
      <c r="B65" s="6">
        <v>4.0263636363636364</v>
      </c>
    </row>
    <row r="66" spans="1:2" x14ac:dyDescent="0.25">
      <c r="A66" s="5" t="s">
        <v>135</v>
      </c>
      <c r="B66" s="6">
        <v>3.9406250000000003</v>
      </c>
    </row>
    <row r="67" spans="1:2" x14ac:dyDescent="0.25">
      <c r="A67" s="5" t="s">
        <v>50</v>
      </c>
      <c r="B67" s="6">
        <v>3.8393333333333333</v>
      </c>
    </row>
    <row r="68" spans="1:2" x14ac:dyDescent="0.25">
      <c r="A68" s="5" t="s">
        <v>30</v>
      </c>
      <c r="B68" s="6">
        <v>3.5737500000000004</v>
      </c>
    </row>
    <row r="69" spans="1:2" x14ac:dyDescent="0.25">
      <c r="A69" s="5" t="s">
        <v>22</v>
      </c>
      <c r="B69" s="6">
        <v>3.5322222222222224</v>
      </c>
    </row>
    <row r="70" spans="1:2" x14ac:dyDescent="0.25">
      <c r="A70" s="5" t="s">
        <v>65</v>
      </c>
      <c r="B70" s="6">
        <v>2.9528571428571424</v>
      </c>
    </row>
    <row r="71" spans="1:2" x14ac:dyDescent="0.25">
      <c r="A71" s="5" t="s">
        <v>195</v>
      </c>
      <c r="B71" s="6">
        <v>2.8779999999999997</v>
      </c>
    </row>
    <row r="72" spans="1:2" x14ac:dyDescent="0.25">
      <c r="A72" s="5" t="s">
        <v>56</v>
      </c>
      <c r="B72" s="6">
        <v>2.8030769230769232</v>
      </c>
    </row>
    <row r="73" spans="1:2" x14ac:dyDescent="0.25">
      <c r="A73" s="5" t="s">
        <v>47</v>
      </c>
      <c r="B73" s="6">
        <v>2.4547619047619045</v>
      </c>
    </row>
    <row r="74" spans="1:2" x14ac:dyDescent="0.25">
      <c r="A74" s="5" t="s">
        <v>37</v>
      </c>
      <c r="B74" s="6">
        <v>2.3125</v>
      </c>
    </row>
    <row r="75" spans="1:2" x14ac:dyDescent="0.25">
      <c r="A75" s="5" t="s">
        <v>98</v>
      </c>
      <c r="B75" s="6">
        <v>2.2288888888888891</v>
      </c>
    </row>
    <row r="76" spans="1:2" x14ac:dyDescent="0.25">
      <c r="A76" s="5" t="s">
        <v>167</v>
      </c>
      <c r="B76" s="6">
        <v>1.6533333333333333</v>
      </c>
    </row>
    <row r="77" spans="1:2" x14ac:dyDescent="0.25">
      <c r="A77" s="5" t="s">
        <v>293</v>
      </c>
      <c r="B77" s="6">
        <v>3.64805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52436-3B75-475D-952A-D190A667987D}">
  <dimension ref="A12:D79"/>
  <sheetViews>
    <sheetView showGridLines="0" topLeftCell="A37" workbookViewId="0">
      <selection activeCell="R41" sqref="R41"/>
    </sheetView>
  </sheetViews>
  <sheetFormatPr defaultRowHeight="15" x14ac:dyDescent="0.25"/>
  <cols>
    <col min="1" max="1" width="18.140625" bestFit="1" customWidth="1"/>
    <col min="2" max="2" width="24.42578125" bestFit="1" customWidth="1"/>
    <col min="3" max="3" width="22.140625" bestFit="1" customWidth="1"/>
    <col min="4" max="4" width="20" bestFit="1" customWidth="1"/>
    <col min="15" max="15" width="18.140625" bestFit="1" customWidth="1"/>
    <col min="16" max="16" width="24.42578125" bestFit="1" customWidth="1"/>
    <col min="17" max="17" width="22.140625" bestFit="1" customWidth="1"/>
    <col min="18" max="18" width="20" bestFit="1" customWidth="1"/>
    <col min="19" max="19" width="18.140625" bestFit="1" customWidth="1"/>
    <col min="20" max="20" width="24.42578125" bestFit="1" customWidth="1"/>
    <col min="21" max="21" width="22.140625" bestFit="1" customWidth="1"/>
    <col min="22" max="22" width="20" bestFit="1" customWidth="1"/>
  </cols>
  <sheetData>
    <row r="12" spans="1:2" x14ac:dyDescent="0.25">
      <c r="A12" s="4" t="s">
        <v>292</v>
      </c>
      <c r="B12" t="s">
        <v>300</v>
      </c>
    </row>
    <row r="13" spans="1:2" x14ac:dyDescent="0.25">
      <c r="A13" s="5" t="s">
        <v>47</v>
      </c>
      <c r="B13" s="7">
        <v>290940.47989999998</v>
      </c>
    </row>
    <row r="14" spans="1:2" x14ac:dyDescent="0.25">
      <c r="A14" s="5" t="s">
        <v>135</v>
      </c>
      <c r="B14" s="7">
        <v>215521.66440000001</v>
      </c>
    </row>
    <row r="15" spans="1:2" x14ac:dyDescent="0.25">
      <c r="A15" s="5" t="s">
        <v>43</v>
      </c>
      <c r="B15" s="7">
        <v>189896.47570000001</v>
      </c>
    </row>
    <row r="16" spans="1:2" x14ac:dyDescent="0.25">
      <c r="A16" s="5" t="s">
        <v>65</v>
      </c>
      <c r="B16" s="7">
        <v>185958.43280000001</v>
      </c>
    </row>
    <row r="17" spans="1:2" x14ac:dyDescent="0.25">
      <c r="A17" s="5" t="s">
        <v>98</v>
      </c>
      <c r="B17" s="7">
        <v>183812.47700000001</v>
      </c>
    </row>
    <row r="18" spans="1:2" x14ac:dyDescent="0.25">
      <c r="A18" s="5" t="s">
        <v>30</v>
      </c>
      <c r="B18" s="7">
        <v>180213.89109999998</v>
      </c>
    </row>
    <row r="19" spans="1:2" x14ac:dyDescent="0.25">
      <c r="A19" s="5" t="s">
        <v>56</v>
      </c>
      <c r="B19" s="7">
        <v>175277.06470000002</v>
      </c>
    </row>
    <row r="20" spans="1:2" x14ac:dyDescent="0.25">
      <c r="A20" s="5" t="s">
        <v>69</v>
      </c>
      <c r="B20" s="7">
        <v>166918.73479999995</v>
      </c>
    </row>
    <row r="21" spans="1:2" x14ac:dyDescent="0.25">
      <c r="A21" s="5" t="s">
        <v>62</v>
      </c>
      <c r="B21" s="7">
        <v>150855.791</v>
      </c>
    </row>
    <row r="22" spans="1:2" x14ac:dyDescent="0.25">
      <c r="A22" s="5" t="s">
        <v>22</v>
      </c>
      <c r="B22" s="7">
        <v>144683.01240000001</v>
      </c>
    </row>
    <row r="23" spans="1:2" x14ac:dyDescent="0.25">
      <c r="A23" s="5" t="s">
        <v>50</v>
      </c>
      <c r="B23" s="7">
        <v>143027.42020000002</v>
      </c>
    </row>
    <row r="24" spans="1:2" x14ac:dyDescent="0.25">
      <c r="A24" s="5" t="s">
        <v>59</v>
      </c>
      <c r="B24" s="7">
        <v>131307.35399999999</v>
      </c>
    </row>
    <row r="25" spans="1:2" x14ac:dyDescent="0.25">
      <c r="A25" s="5" t="s">
        <v>42</v>
      </c>
      <c r="B25" s="7">
        <v>127320.36240000001</v>
      </c>
    </row>
    <row r="26" spans="1:2" x14ac:dyDescent="0.25">
      <c r="A26" s="5" t="s">
        <v>37</v>
      </c>
      <c r="B26" s="7">
        <v>84262.667100000006</v>
      </c>
    </row>
    <row r="27" spans="1:2" x14ac:dyDescent="0.25">
      <c r="A27" s="5" t="s">
        <v>167</v>
      </c>
      <c r="B27" s="7">
        <v>54406.742100000003</v>
      </c>
    </row>
    <row r="28" spans="1:2" x14ac:dyDescent="0.25">
      <c r="A28" s="5" t="s">
        <v>195</v>
      </c>
      <c r="B28" s="7">
        <v>51973.962</v>
      </c>
    </row>
    <row r="29" spans="1:2" x14ac:dyDescent="0.25">
      <c r="A29" s="5" t="s">
        <v>293</v>
      </c>
      <c r="B29" s="7">
        <v>2476376.5315999999</v>
      </c>
    </row>
    <row r="37" spans="1:3" x14ac:dyDescent="0.25">
      <c r="A37" s="4" t="s">
        <v>292</v>
      </c>
      <c r="B37" t="s">
        <v>300</v>
      </c>
      <c r="C37" t="s">
        <v>296</v>
      </c>
    </row>
    <row r="38" spans="1:3" x14ac:dyDescent="0.25">
      <c r="A38" s="5" t="s">
        <v>47</v>
      </c>
      <c r="B38" s="7">
        <v>290940.47989999998</v>
      </c>
      <c r="C38" s="2">
        <v>0.46628571428571419</v>
      </c>
    </row>
    <row r="39" spans="1:3" x14ac:dyDescent="0.25">
      <c r="A39" s="5" t="s">
        <v>135</v>
      </c>
      <c r="B39" s="7">
        <v>215521.66440000001</v>
      </c>
      <c r="C39" s="2">
        <v>0.40947500000000003</v>
      </c>
    </row>
    <row r="40" spans="1:3" x14ac:dyDescent="0.25">
      <c r="A40" s="5" t="s">
        <v>43</v>
      </c>
      <c r="B40" s="7">
        <v>189896.47570000001</v>
      </c>
      <c r="C40" s="2">
        <v>0.45033571428571423</v>
      </c>
    </row>
    <row r="41" spans="1:3" x14ac:dyDescent="0.25">
      <c r="A41" s="5" t="s">
        <v>65</v>
      </c>
      <c r="B41" s="7">
        <v>185958.43280000001</v>
      </c>
      <c r="C41" s="2">
        <v>0.42806428571428567</v>
      </c>
    </row>
    <row r="42" spans="1:3" x14ac:dyDescent="0.25">
      <c r="A42" s="5" t="s">
        <v>98</v>
      </c>
      <c r="B42" s="7">
        <v>183812.47700000001</v>
      </c>
      <c r="C42" s="2">
        <v>0.51425555555555558</v>
      </c>
    </row>
    <row r="43" spans="1:3" x14ac:dyDescent="0.25">
      <c r="A43" s="5" t="s">
        <v>30</v>
      </c>
      <c r="B43" s="7">
        <v>180213.89109999998</v>
      </c>
      <c r="C43" s="2">
        <v>0.47129374999999996</v>
      </c>
    </row>
    <row r="44" spans="1:3" x14ac:dyDescent="0.25">
      <c r="A44" s="5" t="s">
        <v>56</v>
      </c>
      <c r="B44" s="7">
        <v>175277.06470000002</v>
      </c>
      <c r="C44" s="2">
        <v>0.44616923076923076</v>
      </c>
    </row>
    <row r="45" spans="1:3" x14ac:dyDescent="0.25">
      <c r="A45" s="5" t="s">
        <v>69</v>
      </c>
      <c r="B45" s="7">
        <v>166918.73479999995</v>
      </c>
      <c r="C45" s="2">
        <v>0.4930888888888888</v>
      </c>
    </row>
    <row r="46" spans="1:3" x14ac:dyDescent="0.25">
      <c r="A46" s="5" t="s">
        <v>62</v>
      </c>
      <c r="B46" s="7">
        <v>150855.791</v>
      </c>
      <c r="C46" s="2">
        <v>0.46654545454545443</v>
      </c>
    </row>
    <row r="47" spans="1:3" x14ac:dyDescent="0.25">
      <c r="A47" s="5" t="s">
        <v>22</v>
      </c>
      <c r="B47" s="7">
        <v>144683.01240000001</v>
      </c>
      <c r="C47" s="2">
        <v>0.51625555555555547</v>
      </c>
    </row>
    <row r="48" spans="1:3" x14ac:dyDescent="0.25">
      <c r="A48" s="5" t="s">
        <v>50</v>
      </c>
      <c r="B48" s="7">
        <v>143027.42020000002</v>
      </c>
      <c r="C48" s="2">
        <v>0.48121333333333333</v>
      </c>
    </row>
    <row r="49" spans="1:4" x14ac:dyDescent="0.25">
      <c r="A49" s="5" t="s">
        <v>59</v>
      </c>
      <c r="B49" s="7">
        <v>131307.35399999999</v>
      </c>
      <c r="C49" s="2">
        <v>0.45292307692307693</v>
      </c>
    </row>
    <row r="50" spans="1:4" x14ac:dyDescent="0.25">
      <c r="A50" s="5" t="s">
        <v>42</v>
      </c>
      <c r="B50" s="7">
        <v>127320.36240000001</v>
      </c>
      <c r="C50" s="2">
        <v>0.48675333333333332</v>
      </c>
    </row>
    <row r="51" spans="1:4" x14ac:dyDescent="0.25">
      <c r="A51" s="5" t="s">
        <v>37</v>
      </c>
      <c r="B51" s="7">
        <v>84262.667100000006</v>
      </c>
      <c r="C51" s="2">
        <v>0.51467499999999999</v>
      </c>
    </row>
    <row r="52" spans="1:4" x14ac:dyDescent="0.25">
      <c r="A52" s="5" t="s">
        <v>167</v>
      </c>
      <c r="B52" s="7">
        <v>54406.742100000003</v>
      </c>
      <c r="C52" s="2">
        <v>0.44143333333333334</v>
      </c>
    </row>
    <row r="53" spans="1:4" x14ac:dyDescent="0.25">
      <c r="A53" s="5" t="s">
        <v>195</v>
      </c>
      <c r="B53" s="7">
        <v>51973.962</v>
      </c>
      <c r="C53" s="2">
        <v>0.47221999999999997</v>
      </c>
    </row>
    <row r="54" spans="1:4" x14ac:dyDescent="0.25">
      <c r="A54" s="5" t="s">
        <v>293</v>
      </c>
      <c r="B54" s="7">
        <v>2476376.5316000003</v>
      </c>
      <c r="C54" s="2">
        <v>0.46737300000000009</v>
      </c>
    </row>
    <row r="62" spans="1:4" x14ac:dyDescent="0.25">
      <c r="A62" s="4" t="s">
        <v>292</v>
      </c>
      <c r="B62" t="s">
        <v>300</v>
      </c>
      <c r="C62" t="s">
        <v>294</v>
      </c>
      <c r="D62" t="s">
        <v>296</v>
      </c>
    </row>
    <row r="63" spans="1:4" x14ac:dyDescent="0.25">
      <c r="A63" s="5" t="s">
        <v>47</v>
      </c>
      <c r="B63" s="3">
        <v>290940.47989999998</v>
      </c>
      <c r="C63" s="3">
        <v>641812</v>
      </c>
      <c r="D63" s="2">
        <v>0.46628571428571419</v>
      </c>
    </row>
    <row r="64" spans="1:4" x14ac:dyDescent="0.25">
      <c r="A64" s="5" t="s">
        <v>135</v>
      </c>
      <c r="B64" s="3">
        <v>215521.66440000001</v>
      </c>
      <c r="C64" s="3">
        <v>476940</v>
      </c>
      <c r="D64" s="2">
        <v>0.40947500000000003</v>
      </c>
    </row>
    <row r="65" spans="1:4" x14ac:dyDescent="0.25">
      <c r="A65" s="5" t="s">
        <v>43</v>
      </c>
      <c r="B65" s="3">
        <v>189896.47570000001</v>
      </c>
      <c r="C65" s="3">
        <v>386867</v>
      </c>
      <c r="D65" s="2">
        <v>0.45033571428571423</v>
      </c>
    </row>
    <row r="66" spans="1:4" x14ac:dyDescent="0.25">
      <c r="A66" s="5" t="s">
        <v>65</v>
      </c>
      <c r="B66" s="3">
        <v>185958.43280000001</v>
      </c>
      <c r="C66" s="3">
        <v>437422</v>
      </c>
      <c r="D66" s="2">
        <v>0.42806428571428567</v>
      </c>
    </row>
    <row r="67" spans="1:4" x14ac:dyDescent="0.25">
      <c r="A67" s="5" t="s">
        <v>98</v>
      </c>
      <c r="B67" s="3">
        <v>183812.47700000001</v>
      </c>
      <c r="C67" s="3">
        <v>329698</v>
      </c>
      <c r="D67" s="2">
        <v>0.51425555555555558</v>
      </c>
    </row>
    <row r="68" spans="1:4" x14ac:dyDescent="0.25">
      <c r="A68" s="5" t="s">
        <v>30</v>
      </c>
      <c r="B68" s="3">
        <v>180213.89109999998</v>
      </c>
      <c r="C68" s="3">
        <v>407195</v>
      </c>
      <c r="D68" s="2">
        <v>0.47129374999999996</v>
      </c>
    </row>
    <row r="69" spans="1:4" x14ac:dyDescent="0.25">
      <c r="A69" s="5" t="s">
        <v>56</v>
      </c>
      <c r="B69" s="3">
        <v>175277.06470000002</v>
      </c>
      <c r="C69" s="3">
        <v>385457</v>
      </c>
      <c r="D69" s="2">
        <v>0.44616923076923076</v>
      </c>
    </row>
    <row r="70" spans="1:4" x14ac:dyDescent="0.25">
      <c r="A70" s="5" t="s">
        <v>69</v>
      </c>
      <c r="B70" s="3">
        <v>166918.73479999995</v>
      </c>
      <c r="C70" s="3">
        <v>337932</v>
      </c>
      <c r="D70" s="2">
        <v>0.4930888888888888</v>
      </c>
    </row>
    <row r="71" spans="1:4" x14ac:dyDescent="0.25">
      <c r="A71" s="5" t="s">
        <v>62</v>
      </c>
      <c r="B71" s="3">
        <v>150855.791</v>
      </c>
      <c r="C71" s="3">
        <v>351255</v>
      </c>
      <c r="D71" s="2">
        <v>0.46654545454545443</v>
      </c>
    </row>
    <row r="72" spans="1:4" x14ac:dyDescent="0.25">
      <c r="A72" s="5" t="s">
        <v>22</v>
      </c>
      <c r="B72" s="3">
        <v>144683.01240000001</v>
      </c>
      <c r="C72" s="3">
        <v>279642</v>
      </c>
      <c r="D72" s="2">
        <v>0.51625555555555547</v>
      </c>
    </row>
    <row r="73" spans="1:4" x14ac:dyDescent="0.25">
      <c r="A73" s="5" t="s">
        <v>50</v>
      </c>
      <c r="B73" s="3">
        <v>143027.42020000002</v>
      </c>
      <c r="C73" s="3">
        <v>313506</v>
      </c>
      <c r="D73" s="2">
        <v>0.48121333333333333</v>
      </c>
    </row>
    <row r="74" spans="1:4" x14ac:dyDescent="0.25">
      <c r="A74" s="5" t="s">
        <v>59</v>
      </c>
      <c r="B74" s="3">
        <v>131307.35399999999</v>
      </c>
      <c r="C74" s="3">
        <v>287273</v>
      </c>
      <c r="D74" s="2">
        <v>0.45292307692307693</v>
      </c>
    </row>
    <row r="75" spans="1:4" x14ac:dyDescent="0.25">
      <c r="A75" s="5" t="s">
        <v>42</v>
      </c>
      <c r="B75" s="3">
        <v>127320.36240000001</v>
      </c>
      <c r="C75" s="3">
        <v>254457</v>
      </c>
      <c r="D75" s="2">
        <v>0.48675333333333332</v>
      </c>
    </row>
    <row r="76" spans="1:4" x14ac:dyDescent="0.25">
      <c r="A76" s="5" t="s">
        <v>37</v>
      </c>
      <c r="B76" s="3">
        <v>84262.667100000006</v>
      </c>
      <c r="C76" s="3">
        <v>153817</v>
      </c>
      <c r="D76" s="2">
        <v>0.51467499999999999</v>
      </c>
    </row>
    <row r="77" spans="1:4" x14ac:dyDescent="0.25">
      <c r="A77" s="5" t="s">
        <v>167</v>
      </c>
      <c r="B77" s="3">
        <v>54406.742100000003</v>
      </c>
      <c r="C77" s="3">
        <v>123717</v>
      </c>
      <c r="D77" s="2">
        <v>0.44143333333333334</v>
      </c>
    </row>
    <row r="78" spans="1:4" x14ac:dyDescent="0.25">
      <c r="A78" s="5" t="s">
        <v>195</v>
      </c>
      <c r="B78" s="3">
        <v>51973.962</v>
      </c>
      <c r="C78" s="3">
        <v>112920</v>
      </c>
      <c r="D78" s="2">
        <v>0.47221999999999997</v>
      </c>
    </row>
    <row r="79" spans="1:4" x14ac:dyDescent="0.25">
      <c r="A79" s="5" t="s">
        <v>293</v>
      </c>
      <c r="B79" s="3">
        <v>2476376.5316000003</v>
      </c>
      <c r="C79" s="3">
        <v>5279910</v>
      </c>
      <c r="D79" s="2">
        <v>0.46737300000000009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C614-2F53-4A30-A734-4BED49E2A5B9}">
  <dimension ref="A1"/>
  <sheetViews>
    <sheetView showGridLines="0" workbookViewId="0">
      <selection activeCell="M21" sqref="M21"/>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10ACEA-6923-4318-B809-4D2C4D7264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retail_dataset</vt:lpstr>
      <vt:lpstr>promo_analysis</vt:lpstr>
      <vt:lpstr>category_performance</vt:lpstr>
      <vt:lpstr>profit_drivers</vt:lpstr>
      <vt:lpstr>strategic_recommendations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Cerf</dc:creator>
  <cp:lastModifiedBy>Connor Cerf</cp:lastModifiedBy>
  <dcterms:created xsi:type="dcterms:W3CDTF">2026-02-26T20:00:59Z</dcterms:created>
  <dcterms:modified xsi:type="dcterms:W3CDTF">2026-03-13T15:21:58Z</dcterms:modified>
</cp:coreProperties>
</file>